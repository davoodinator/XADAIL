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x" sheetId="2" r:id="rId1"/>
    <sheet name="x0001" sheetId="1" r:id="rId2"/>
  </sheets>
  <calcPr calcId="152511"/>
</workbook>
</file>

<file path=xl/calcChain.xml><?xml version="1.0" encoding="utf-8"?>
<calcChain xmlns="http://schemas.openxmlformats.org/spreadsheetml/2006/main">
  <c r="AA3" i="1" l="1"/>
  <c r="Z3" i="1"/>
  <c r="AA102" i="1"/>
  <c r="Z102" i="1"/>
  <c r="AA101" i="1"/>
  <c r="Z101" i="1"/>
  <c r="AA100" i="1"/>
  <c r="Z100" i="1"/>
  <c r="AA99" i="1"/>
  <c r="Z99" i="1"/>
  <c r="AA98" i="1"/>
  <c r="Z98" i="1"/>
  <c r="AA97" i="1"/>
  <c r="Z97" i="1"/>
  <c r="AA96" i="1"/>
  <c r="Z96" i="1"/>
  <c r="AA95" i="1"/>
  <c r="Z95" i="1"/>
  <c r="AA94" i="1"/>
  <c r="Z94" i="1"/>
  <c r="AA93" i="1"/>
  <c r="Z93" i="1"/>
  <c r="AA92" i="1"/>
  <c r="Z92" i="1"/>
  <c r="AA91" i="1"/>
  <c r="Z91" i="1"/>
  <c r="AA90" i="1"/>
  <c r="Z90" i="1"/>
  <c r="AA89" i="1"/>
  <c r="Z89" i="1"/>
  <c r="AA88" i="1"/>
  <c r="Z88" i="1"/>
  <c r="AA87" i="1"/>
  <c r="Z87" i="1"/>
  <c r="AA86" i="1"/>
  <c r="Z86" i="1"/>
  <c r="AA85" i="1"/>
  <c r="Z85" i="1"/>
  <c r="AA84" i="1"/>
  <c r="Z84" i="1"/>
  <c r="AA83" i="1"/>
  <c r="Z83" i="1"/>
  <c r="AA82" i="1"/>
  <c r="Z82" i="1"/>
  <c r="AA81" i="1"/>
  <c r="Z81" i="1"/>
  <c r="AA80" i="1"/>
  <c r="Z80" i="1"/>
  <c r="AA79" i="1"/>
  <c r="Z79" i="1"/>
  <c r="AA78" i="1"/>
  <c r="Z78" i="1"/>
  <c r="AA77" i="1"/>
  <c r="Z77" i="1"/>
  <c r="AA76" i="1"/>
  <c r="Z76" i="1"/>
  <c r="AA75" i="1"/>
  <c r="Z75" i="1"/>
  <c r="AA74" i="1"/>
  <c r="Z74" i="1"/>
  <c r="AA73" i="1"/>
  <c r="Z73" i="1"/>
  <c r="AA72" i="1"/>
  <c r="Z72" i="1"/>
  <c r="AA71" i="1"/>
  <c r="Z71" i="1"/>
  <c r="AA70" i="1"/>
  <c r="Z70" i="1"/>
  <c r="AA69" i="1"/>
  <c r="Z69" i="1"/>
  <c r="AA68" i="1"/>
  <c r="Z68" i="1"/>
  <c r="AA67" i="1"/>
  <c r="Z67" i="1"/>
  <c r="AA66" i="1"/>
  <c r="Z66" i="1"/>
  <c r="AA65" i="1"/>
  <c r="Z65" i="1"/>
  <c r="AA64" i="1"/>
  <c r="Z64" i="1"/>
  <c r="AA63" i="1"/>
  <c r="Z63" i="1"/>
  <c r="AA62" i="1"/>
  <c r="Z62" i="1"/>
  <c r="AA61" i="1"/>
  <c r="Z61" i="1"/>
  <c r="AA60" i="1"/>
  <c r="Z60" i="1"/>
  <c r="AA59" i="1"/>
  <c r="Z59" i="1"/>
  <c r="AA58" i="1"/>
  <c r="Z58" i="1"/>
  <c r="AA57" i="1"/>
  <c r="Z57" i="1"/>
  <c r="AA56" i="1"/>
  <c r="Z56" i="1"/>
  <c r="AA55" i="1"/>
  <c r="Z55" i="1"/>
  <c r="AA54" i="1"/>
  <c r="Z54" i="1"/>
  <c r="AA53" i="1"/>
  <c r="Z53" i="1"/>
  <c r="AA52" i="1"/>
  <c r="Z52" i="1"/>
  <c r="AA51" i="1"/>
  <c r="Z51" i="1"/>
  <c r="AA50" i="1"/>
  <c r="Z50" i="1"/>
  <c r="AA49" i="1"/>
  <c r="Z49" i="1"/>
  <c r="AA48" i="1"/>
  <c r="Z48" i="1"/>
  <c r="AA47" i="1"/>
  <c r="Z47" i="1"/>
  <c r="AA46" i="1"/>
  <c r="Z46" i="1"/>
  <c r="AA45" i="1"/>
  <c r="Z45" i="1"/>
  <c r="AA44" i="1"/>
  <c r="Z44" i="1"/>
  <c r="AA43" i="1"/>
  <c r="Z43" i="1"/>
  <c r="AA42" i="1"/>
  <c r="Z42" i="1"/>
  <c r="AA41" i="1"/>
  <c r="Z41" i="1"/>
  <c r="AA40" i="1"/>
  <c r="Z40" i="1"/>
  <c r="AA39" i="1"/>
  <c r="Z39" i="1"/>
  <c r="AA38" i="1"/>
  <c r="Z38" i="1"/>
  <c r="AA37" i="1"/>
  <c r="Z37" i="1"/>
  <c r="AA36" i="1"/>
  <c r="Z36" i="1"/>
  <c r="AA35" i="1"/>
  <c r="Z35" i="1"/>
  <c r="AA34" i="1"/>
  <c r="Z34" i="1"/>
  <c r="AA33" i="1"/>
  <c r="Z33" i="1"/>
  <c r="AA32" i="1"/>
  <c r="Z32" i="1"/>
  <c r="AA31" i="1"/>
  <c r="Z31" i="1"/>
  <c r="AA30" i="1"/>
  <c r="Z30" i="1"/>
  <c r="AA29" i="1"/>
  <c r="Z29" i="1"/>
  <c r="AA28" i="1"/>
  <c r="Z28" i="1"/>
  <c r="AA27" i="1"/>
  <c r="Z27" i="1"/>
  <c r="AA26" i="1"/>
  <c r="Z26" i="1"/>
  <c r="AA25" i="1"/>
  <c r="Z25" i="1"/>
  <c r="AA24" i="1"/>
  <c r="Z24" i="1"/>
  <c r="AA23" i="1"/>
  <c r="Z23" i="1"/>
  <c r="AA22" i="1"/>
  <c r="Z22" i="1"/>
  <c r="AA21" i="1"/>
  <c r="Z21" i="1"/>
  <c r="AA20" i="1"/>
  <c r="Z20" i="1"/>
  <c r="AA19" i="1"/>
  <c r="Z19" i="1"/>
  <c r="AA18" i="1"/>
  <c r="Z18" i="1"/>
  <c r="AA17" i="1"/>
  <c r="Z17" i="1"/>
  <c r="AA16" i="1"/>
  <c r="Z16" i="1"/>
  <c r="AA15" i="1"/>
  <c r="Z15" i="1"/>
  <c r="AA14" i="1"/>
  <c r="Z14" i="1"/>
  <c r="AA13" i="1"/>
  <c r="Z13" i="1"/>
  <c r="AA12" i="1"/>
  <c r="Z12" i="1"/>
  <c r="AA11" i="1"/>
  <c r="Z11" i="1"/>
  <c r="AA10" i="1"/>
  <c r="Z10" i="1"/>
  <c r="AA9" i="1"/>
  <c r="Z9" i="1"/>
  <c r="AA8" i="1"/>
  <c r="Z8" i="1"/>
  <c r="AA7" i="1"/>
  <c r="Z7" i="1"/>
  <c r="AA6" i="1"/>
  <c r="Z6" i="1"/>
  <c r="AA5" i="1"/>
  <c r="Z5" i="1"/>
  <c r="AA4" i="1"/>
  <c r="Z4" i="1"/>
  <c r="O5" i="1"/>
  <c r="O4" i="1"/>
  <c r="O3" i="1"/>
  <c r="X102" i="1"/>
  <c r="W102" i="1"/>
  <c r="X101" i="1"/>
  <c r="W101" i="1"/>
  <c r="X100" i="1"/>
  <c r="W100" i="1"/>
  <c r="X99" i="1"/>
  <c r="W99" i="1"/>
  <c r="X98" i="1"/>
  <c r="W98" i="1"/>
  <c r="X97" i="1"/>
  <c r="W97" i="1"/>
  <c r="X96" i="1"/>
  <c r="W96" i="1"/>
  <c r="X95" i="1"/>
  <c r="W95" i="1"/>
  <c r="X94" i="1"/>
  <c r="W94" i="1"/>
  <c r="X93" i="1"/>
  <c r="W93" i="1"/>
  <c r="X92" i="1"/>
  <c r="W92" i="1"/>
  <c r="X91" i="1"/>
  <c r="W91" i="1"/>
  <c r="X90" i="1"/>
  <c r="W90" i="1"/>
  <c r="X89" i="1"/>
  <c r="W89" i="1"/>
  <c r="X88" i="1"/>
  <c r="W88" i="1"/>
  <c r="X87" i="1"/>
  <c r="W87" i="1"/>
  <c r="X86" i="1"/>
  <c r="W86" i="1"/>
  <c r="X85" i="1"/>
  <c r="W85" i="1"/>
  <c r="X84" i="1"/>
  <c r="W84" i="1"/>
  <c r="X83" i="1"/>
  <c r="W83" i="1"/>
  <c r="X82" i="1"/>
  <c r="W82" i="1"/>
  <c r="X81" i="1"/>
  <c r="W81" i="1"/>
  <c r="X80" i="1"/>
  <c r="W80" i="1"/>
  <c r="X79" i="1"/>
  <c r="W79" i="1"/>
  <c r="X78" i="1"/>
  <c r="W78" i="1"/>
  <c r="X77" i="1"/>
  <c r="W77" i="1"/>
  <c r="X76" i="1"/>
  <c r="W76" i="1"/>
  <c r="X75" i="1"/>
  <c r="W75" i="1"/>
  <c r="X74" i="1"/>
  <c r="W74" i="1"/>
  <c r="X73" i="1"/>
  <c r="W73" i="1"/>
  <c r="X72" i="1"/>
  <c r="W72" i="1"/>
  <c r="X71" i="1"/>
  <c r="W71" i="1"/>
  <c r="X70" i="1"/>
  <c r="W70" i="1"/>
  <c r="X69" i="1"/>
  <c r="W69" i="1"/>
  <c r="X68" i="1"/>
  <c r="W68" i="1"/>
  <c r="X67" i="1"/>
  <c r="W67" i="1"/>
  <c r="X66" i="1"/>
  <c r="W66" i="1"/>
  <c r="X65" i="1"/>
  <c r="W65" i="1"/>
  <c r="X64" i="1"/>
  <c r="W64" i="1"/>
  <c r="X63" i="1"/>
  <c r="W63" i="1"/>
  <c r="X62" i="1"/>
  <c r="W62" i="1"/>
  <c r="X61" i="1"/>
  <c r="W61" i="1"/>
  <c r="X60" i="1"/>
  <c r="W60" i="1"/>
  <c r="X59" i="1"/>
  <c r="W59" i="1"/>
  <c r="X58" i="1"/>
  <c r="W58" i="1"/>
  <c r="X57" i="1"/>
  <c r="W57" i="1"/>
  <c r="X56" i="1"/>
  <c r="W56" i="1"/>
  <c r="X55" i="1"/>
  <c r="W55" i="1"/>
  <c r="X54" i="1"/>
  <c r="W54" i="1"/>
  <c r="X53" i="1"/>
  <c r="W53" i="1"/>
  <c r="X52" i="1"/>
  <c r="W52" i="1"/>
  <c r="X51" i="1"/>
  <c r="W51" i="1"/>
  <c r="X50" i="1"/>
  <c r="W50" i="1"/>
  <c r="X49" i="1"/>
  <c r="W49" i="1"/>
  <c r="X48" i="1"/>
  <c r="W48" i="1"/>
  <c r="X47" i="1"/>
  <c r="W47" i="1"/>
  <c r="X46" i="1"/>
  <c r="W46" i="1"/>
  <c r="X45" i="1"/>
  <c r="W45" i="1"/>
  <c r="X44" i="1"/>
  <c r="W44" i="1"/>
  <c r="X43" i="1"/>
  <c r="W43" i="1"/>
  <c r="X42" i="1"/>
  <c r="W42" i="1"/>
  <c r="X41" i="1"/>
  <c r="W41" i="1"/>
  <c r="X40" i="1"/>
  <c r="W40" i="1"/>
  <c r="X39" i="1"/>
  <c r="W39" i="1"/>
  <c r="X38" i="1"/>
  <c r="W38" i="1"/>
  <c r="X37" i="1"/>
  <c r="W37" i="1"/>
  <c r="X36" i="1"/>
  <c r="W36" i="1"/>
  <c r="X35" i="1"/>
  <c r="W35" i="1"/>
  <c r="X34" i="1"/>
  <c r="W34" i="1"/>
  <c r="X33" i="1"/>
  <c r="W33" i="1"/>
  <c r="X32" i="1"/>
  <c r="W32" i="1"/>
  <c r="X31" i="1"/>
  <c r="W31" i="1"/>
  <c r="X30" i="1"/>
  <c r="W30" i="1"/>
  <c r="X29" i="1"/>
  <c r="W29" i="1"/>
  <c r="X28" i="1"/>
  <c r="W28" i="1"/>
  <c r="X27" i="1"/>
  <c r="W27" i="1"/>
  <c r="X26" i="1"/>
  <c r="W26" i="1"/>
  <c r="X25" i="1"/>
  <c r="W25" i="1"/>
  <c r="X24" i="1"/>
  <c r="W24" i="1"/>
  <c r="X23" i="1"/>
  <c r="W23" i="1"/>
  <c r="X22" i="1"/>
  <c r="W22" i="1"/>
  <c r="X21" i="1"/>
  <c r="W21" i="1"/>
  <c r="X20" i="1"/>
  <c r="W20" i="1"/>
  <c r="X19" i="1"/>
  <c r="W19" i="1"/>
  <c r="X18" i="1"/>
  <c r="W18" i="1"/>
  <c r="X17" i="1"/>
  <c r="W17" i="1"/>
  <c r="X16" i="1"/>
  <c r="W16" i="1"/>
  <c r="X15" i="1"/>
  <c r="W15" i="1"/>
  <c r="X14" i="1"/>
  <c r="W14" i="1"/>
  <c r="X13" i="1"/>
  <c r="W13" i="1"/>
  <c r="X12" i="1"/>
  <c r="W12" i="1"/>
  <c r="X11" i="1"/>
  <c r="W11" i="1"/>
  <c r="X10" i="1"/>
  <c r="W10" i="1"/>
  <c r="X9" i="1"/>
  <c r="W9" i="1"/>
  <c r="X8" i="1"/>
  <c r="W8" i="1"/>
  <c r="X7" i="1"/>
  <c r="W7" i="1"/>
  <c r="X6" i="1"/>
  <c r="W6" i="1"/>
  <c r="X5" i="1"/>
  <c r="W5" i="1"/>
  <c r="X4" i="1"/>
  <c r="W4" i="1"/>
  <c r="X3" i="1"/>
  <c r="W3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O102" i="1"/>
  <c r="O101" i="1"/>
  <c r="O100" i="1"/>
  <c r="O99" i="1"/>
  <c r="O98" i="1"/>
  <c r="O97" i="1"/>
  <c r="O96" i="1"/>
  <c r="O95" i="1"/>
  <c r="O94" i="1"/>
  <c r="O93" i="1"/>
  <c r="O92" i="1"/>
  <c r="O91" i="1"/>
  <c r="O90" i="1"/>
  <c r="O89" i="1"/>
  <c r="O88" i="1"/>
  <c r="O87" i="1"/>
  <c r="O86" i="1"/>
  <c r="O85" i="1"/>
  <c r="O84" i="1"/>
  <c r="O83" i="1"/>
  <c r="O82" i="1"/>
  <c r="O81" i="1"/>
  <c r="O80" i="1"/>
  <c r="O79" i="1"/>
  <c r="O78" i="1"/>
  <c r="O77" i="1"/>
  <c r="O76" i="1"/>
  <c r="O75" i="1"/>
  <c r="O74" i="1"/>
  <c r="O73" i="1"/>
  <c r="O72" i="1"/>
  <c r="O71" i="1"/>
  <c r="O70" i="1"/>
  <c r="O69" i="1"/>
  <c r="O68" i="1"/>
  <c r="O67" i="1"/>
  <c r="O66" i="1"/>
  <c r="O65" i="1"/>
  <c r="O64" i="1"/>
  <c r="O63" i="1"/>
  <c r="O62" i="1"/>
  <c r="O61" i="1"/>
  <c r="O60" i="1"/>
  <c r="O59" i="1"/>
  <c r="O58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2" i="1"/>
  <c r="O41" i="1"/>
  <c r="O40" i="1"/>
  <c r="O39" i="1"/>
  <c r="O38" i="1"/>
  <c r="O37" i="1"/>
  <c r="O36" i="1"/>
  <c r="O35" i="1"/>
  <c r="O34" i="1"/>
  <c r="O33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U102" i="1"/>
  <c r="T102" i="1"/>
  <c r="S102" i="1"/>
  <c r="R102" i="1"/>
  <c r="Q102" i="1"/>
  <c r="P102" i="1"/>
  <c r="U101" i="1"/>
  <c r="T101" i="1"/>
  <c r="S101" i="1"/>
  <c r="R101" i="1"/>
  <c r="Q101" i="1"/>
  <c r="P101" i="1"/>
  <c r="U100" i="1"/>
  <c r="T100" i="1"/>
  <c r="S100" i="1"/>
  <c r="R100" i="1"/>
  <c r="Q100" i="1"/>
  <c r="P100" i="1"/>
  <c r="U99" i="1"/>
  <c r="T99" i="1"/>
  <c r="S99" i="1"/>
  <c r="R99" i="1"/>
  <c r="Q99" i="1"/>
  <c r="P99" i="1"/>
  <c r="U98" i="1"/>
  <c r="T98" i="1"/>
  <c r="S98" i="1"/>
  <c r="R98" i="1"/>
  <c r="Q98" i="1"/>
  <c r="P98" i="1"/>
  <c r="U97" i="1"/>
  <c r="T97" i="1"/>
  <c r="S97" i="1"/>
  <c r="R97" i="1"/>
  <c r="Q97" i="1"/>
  <c r="P97" i="1"/>
  <c r="U96" i="1"/>
  <c r="T96" i="1"/>
  <c r="S96" i="1"/>
  <c r="R96" i="1"/>
  <c r="Q96" i="1"/>
  <c r="P96" i="1"/>
  <c r="U95" i="1"/>
  <c r="T95" i="1"/>
  <c r="S95" i="1"/>
  <c r="R95" i="1"/>
  <c r="Q95" i="1"/>
  <c r="P95" i="1"/>
  <c r="U94" i="1"/>
  <c r="T94" i="1"/>
  <c r="S94" i="1"/>
  <c r="R94" i="1"/>
  <c r="Q94" i="1"/>
  <c r="P94" i="1"/>
  <c r="U93" i="1"/>
  <c r="T93" i="1"/>
  <c r="S93" i="1"/>
  <c r="R93" i="1"/>
  <c r="Q93" i="1"/>
  <c r="P93" i="1"/>
  <c r="U92" i="1"/>
  <c r="T92" i="1"/>
  <c r="S92" i="1"/>
  <c r="R92" i="1"/>
  <c r="Q92" i="1"/>
  <c r="P92" i="1"/>
  <c r="U91" i="1"/>
  <c r="T91" i="1"/>
  <c r="S91" i="1"/>
  <c r="R91" i="1"/>
  <c r="Q91" i="1"/>
  <c r="P91" i="1"/>
  <c r="U90" i="1"/>
  <c r="T90" i="1"/>
  <c r="S90" i="1"/>
  <c r="R90" i="1"/>
  <c r="Q90" i="1"/>
  <c r="P90" i="1"/>
  <c r="U89" i="1"/>
  <c r="T89" i="1"/>
  <c r="S89" i="1"/>
  <c r="R89" i="1"/>
  <c r="Q89" i="1"/>
  <c r="P89" i="1"/>
  <c r="U88" i="1"/>
  <c r="T88" i="1"/>
  <c r="S88" i="1"/>
  <c r="R88" i="1"/>
  <c r="Q88" i="1"/>
  <c r="P88" i="1"/>
  <c r="U87" i="1"/>
  <c r="T87" i="1"/>
  <c r="S87" i="1"/>
  <c r="R87" i="1"/>
  <c r="Q87" i="1"/>
  <c r="P87" i="1"/>
  <c r="U86" i="1"/>
  <c r="T86" i="1"/>
  <c r="S86" i="1"/>
  <c r="R86" i="1"/>
  <c r="Q86" i="1"/>
  <c r="P86" i="1"/>
  <c r="U85" i="1"/>
  <c r="T85" i="1"/>
  <c r="S85" i="1"/>
  <c r="R85" i="1"/>
  <c r="Q85" i="1"/>
  <c r="P85" i="1"/>
  <c r="U84" i="1"/>
  <c r="T84" i="1"/>
  <c r="S84" i="1"/>
  <c r="R84" i="1"/>
  <c r="Q84" i="1"/>
  <c r="P84" i="1"/>
  <c r="U83" i="1"/>
  <c r="T83" i="1"/>
  <c r="S83" i="1"/>
  <c r="R83" i="1"/>
  <c r="Q83" i="1"/>
  <c r="P83" i="1"/>
  <c r="U82" i="1"/>
  <c r="T82" i="1"/>
  <c r="S82" i="1"/>
  <c r="R82" i="1"/>
  <c r="Q82" i="1"/>
  <c r="P82" i="1"/>
  <c r="U81" i="1"/>
  <c r="T81" i="1"/>
  <c r="S81" i="1"/>
  <c r="R81" i="1"/>
  <c r="Q81" i="1"/>
  <c r="P81" i="1"/>
  <c r="U80" i="1"/>
  <c r="T80" i="1"/>
  <c r="S80" i="1"/>
  <c r="R80" i="1"/>
  <c r="Q80" i="1"/>
  <c r="P80" i="1"/>
  <c r="U79" i="1"/>
  <c r="T79" i="1"/>
  <c r="S79" i="1"/>
  <c r="R79" i="1"/>
  <c r="Q79" i="1"/>
  <c r="P79" i="1"/>
  <c r="U78" i="1"/>
  <c r="T78" i="1"/>
  <c r="S78" i="1"/>
  <c r="R78" i="1"/>
  <c r="Q78" i="1"/>
  <c r="P78" i="1"/>
  <c r="U77" i="1"/>
  <c r="T77" i="1"/>
  <c r="S77" i="1"/>
  <c r="R77" i="1"/>
  <c r="Q77" i="1"/>
  <c r="P77" i="1"/>
  <c r="U76" i="1"/>
  <c r="T76" i="1"/>
  <c r="S76" i="1"/>
  <c r="R76" i="1"/>
  <c r="Q76" i="1"/>
  <c r="P76" i="1"/>
  <c r="U75" i="1"/>
  <c r="T75" i="1"/>
  <c r="S75" i="1"/>
  <c r="R75" i="1"/>
  <c r="Q75" i="1"/>
  <c r="P75" i="1"/>
  <c r="U74" i="1"/>
  <c r="T74" i="1"/>
  <c r="S74" i="1"/>
  <c r="R74" i="1"/>
  <c r="Q74" i="1"/>
  <c r="P74" i="1"/>
  <c r="U73" i="1"/>
  <c r="T73" i="1"/>
  <c r="S73" i="1"/>
  <c r="R73" i="1"/>
  <c r="Q73" i="1"/>
  <c r="P73" i="1"/>
  <c r="U72" i="1"/>
  <c r="T72" i="1"/>
  <c r="S72" i="1"/>
  <c r="R72" i="1"/>
  <c r="Q72" i="1"/>
  <c r="P72" i="1"/>
  <c r="U71" i="1"/>
  <c r="T71" i="1"/>
  <c r="S71" i="1"/>
  <c r="R71" i="1"/>
  <c r="Q71" i="1"/>
  <c r="P71" i="1"/>
  <c r="U70" i="1"/>
  <c r="T70" i="1"/>
  <c r="S70" i="1"/>
  <c r="R70" i="1"/>
  <c r="Q70" i="1"/>
  <c r="P70" i="1"/>
  <c r="U69" i="1"/>
  <c r="T69" i="1"/>
  <c r="S69" i="1"/>
  <c r="R69" i="1"/>
  <c r="Q69" i="1"/>
  <c r="P69" i="1"/>
  <c r="U68" i="1"/>
  <c r="T68" i="1"/>
  <c r="S68" i="1"/>
  <c r="R68" i="1"/>
  <c r="Q68" i="1"/>
  <c r="P68" i="1"/>
  <c r="U67" i="1"/>
  <c r="T67" i="1"/>
  <c r="S67" i="1"/>
  <c r="R67" i="1"/>
  <c r="Q67" i="1"/>
  <c r="P67" i="1"/>
  <c r="U66" i="1"/>
  <c r="T66" i="1"/>
  <c r="S66" i="1"/>
  <c r="R66" i="1"/>
  <c r="Q66" i="1"/>
  <c r="P66" i="1"/>
  <c r="U65" i="1"/>
  <c r="T65" i="1"/>
  <c r="S65" i="1"/>
  <c r="R65" i="1"/>
  <c r="Q65" i="1"/>
  <c r="P65" i="1"/>
  <c r="U64" i="1"/>
  <c r="T64" i="1"/>
  <c r="S64" i="1"/>
  <c r="R64" i="1"/>
  <c r="Q64" i="1"/>
  <c r="P64" i="1"/>
  <c r="U63" i="1"/>
  <c r="T63" i="1"/>
  <c r="S63" i="1"/>
  <c r="R63" i="1"/>
  <c r="Q63" i="1"/>
  <c r="P63" i="1"/>
  <c r="U62" i="1"/>
  <c r="T62" i="1"/>
  <c r="S62" i="1"/>
  <c r="R62" i="1"/>
  <c r="Q62" i="1"/>
  <c r="P62" i="1"/>
  <c r="U61" i="1"/>
  <c r="T61" i="1"/>
  <c r="S61" i="1"/>
  <c r="R61" i="1"/>
  <c r="Q61" i="1"/>
  <c r="P61" i="1"/>
  <c r="U60" i="1"/>
  <c r="T60" i="1"/>
  <c r="S60" i="1"/>
  <c r="R60" i="1"/>
  <c r="Q60" i="1"/>
  <c r="P60" i="1"/>
  <c r="U59" i="1"/>
  <c r="T59" i="1"/>
  <c r="S59" i="1"/>
  <c r="R59" i="1"/>
  <c r="Q59" i="1"/>
  <c r="P59" i="1"/>
  <c r="U58" i="1"/>
  <c r="T58" i="1"/>
  <c r="S58" i="1"/>
  <c r="R58" i="1"/>
  <c r="Q58" i="1"/>
  <c r="P58" i="1"/>
  <c r="U57" i="1"/>
  <c r="T57" i="1"/>
  <c r="S57" i="1"/>
  <c r="R57" i="1"/>
  <c r="Q57" i="1"/>
  <c r="P57" i="1"/>
  <c r="U56" i="1"/>
  <c r="T56" i="1"/>
  <c r="S56" i="1"/>
  <c r="R56" i="1"/>
  <c r="Q56" i="1"/>
  <c r="P56" i="1"/>
  <c r="U55" i="1"/>
  <c r="T55" i="1"/>
  <c r="S55" i="1"/>
  <c r="R55" i="1"/>
  <c r="Q55" i="1"/>
  <c r="P55" i="1"/>
  <c r="U54" i="1"/>
  <c r="T54" i="1"/>
  <c r="S54" i="1"/>
  <c r="R54" i="1"/>
  <c r="Q54" i="1"/>
  <c r="P54" i="1"/>
  <c r="U53" i="1"/>
  <c r="T53" i="1"/>
  <c r="S53" i="1"/>
  <c r="R53" i="1"/>
  <c r="Q53" i="1"/>
  <c r="P53" i="1"/>
  <c r="U52" i="1"/>
  <c r="T52" i="1"/>
  <c r="S52" i="1"/>
  <c r="R52" i="1"/>
  <c r="Q52" i="1"/>
  <c r="P52" i="1"/>
  <c r="U51" i="1"/>
  <c r="T51" i="1"/>
  <c r="S51" i="1"/>
  <c r="R51" i="1"/>
  <c r="Q51" i="1"/>
  <c r="P51" i="1"/>
  <c r="U50" i="1"/>
  <c r="T50" i="1"/>
  <c r="S50" i="1"/>
  <c r="R50" i="1"/>
  <c r="Q50" i="1"/>
  <c r="P50" i="1"/>
  <c r="U49" i="1"/>
  <c r="T49" i="1"/>
  <c r="S49" i="1"/>
  <c r="R49" i="1"/>
  <c r="Q49" i="1"/>
  <c r="P49" i="1"/>
  <c r="U48" i="1"/>
  <c r="T48" i="1"/>
  <c r="S48" i="1"/>
  <c r="R48" i="1"/>
  <c r="Q48" i="1"/>
  <c r="P48" i="1"/>
  <c r="U47" i="1"/>
  <c r="T47" i="1"/>
  <c r="S47" i="1"/>
  <c r="R47" i="1"/>
  <c r="Q47" i="1"/>
  <c r="P47" i="1"/>
  <c r="U46" i="1"/>
  <c r="T46" i="1"/>
  <c r="S46" i="1"/>
  <c r="R46" i="1"/>
  <c r="Q46" i="1"/>
  <c r="P46" i="1"/>
  <c r="U45" i="1"/>
  <c r="T45" i="1"/>
  <c r="S45" i="1"/>
  <c r="R45" i="1"/>
  <c r="Q45" i="1"/>
  <c r="P45" i="1"/>
  <c r="U44" i="1"/>
  <c r="T44" i="1"/>
  <c r="S44" i="1"/>
  <c r="R44" i="1"/>
  <c r="Q44" i="1"/>
  <c r="P44" i="1"/>
  <c r="U43" i="1"/>
  <c r="T43" i="1"/>
  <c r="S43" i="1"/>
  <c r="R43" i="1"/>
  <c r="Q43" i="1"/>
  <c r="P43" i="1"/>
  <c r="U42" i="1"/>
  <c r="T42" i="1"/>
  <c r="S42" i="1"/>
  <c r="R42" i="1"/>
  <c r="Q42" i="1"/>
  <c r="P42" i="1"/>
  <c r="U41" i="1"/>
  <c r="T41" i="1"/>
  <c r="S41" i="1"/>
  <c r="R41" i="1"/>
  <c r="Q41" i="1"/>
  <c r="P41" i="1"/>
  <c r="U40" i="1"/>
  <c r="T40" i="1"/>
  <c r="S40" i="1"/>
  <c r="R40" i="1"/>
  <c r="Q40" i="1"/>
  <c r="P40" i="1"/>
  <c r="U39" i="1"/>
  <c r="T39" i="1"/>
  <c r="S39" i="1"/>
  <c r="R39" i="1"/>
  <c r="Q39" i="1"/>
  <c r="P39" i="1"/>
  <c r="U38" i="1"/>
  <c r="T38" i="1"/>
  <c r="S38" i="1"/>
  <c r="R38" i="1"/>
  <c r="Q38" i="1"/>
  <c r="P38" i="1"/>
  <c r="U37" i="1"/>
  <c r="T37" i="1"/>
  <c r="S37" i="1"/>
  <c r="R37" i="1"/>
  <c r="Q37" i="1"/>
  <c r="P37" i="1"/>
  <c r="U36" i="1"/>
  <c r="T36" i="1"/>
  <c r="S36" i="1"/>
  <c r="R36" i="1"/>
  <c r="Q36" i="1"/>
  <c r="P36" i="1"/>
  <c r="U35" i="1"/>
  <c r="T35" i="1"/>
  <c r="S35" i="1"/>
  <c r="R35" i="1"/>
  <c r="Q35" i="1"/>
  <c r="P35" i="1"/>
  <c r="U34" i="1"/>
  <c r="T34" i="1"/>
  <c r="S34" i="1"/>
  <c r="R34" i="1"/>
  <c r="Q34" i="1"/>
  <c r="P34" i="1"/>
  <c r="U33" i="1"/>
  <c r="T33" i="1"/>
  <c r="S33" i="1"/>
  <c r="R33" i="1"/>
  <c r="Q33" i="1"/>
  <c r="P33" i="1"/>
  <c r="U32" i="1"/>
  <c r="T32" i="1"/>
  <c r="S32" i="1"/>
  <c r="R32" i="1"/>
  <c r="Q32" i="1"/>
  <c r="P32" i="1"/>
  <c r="U31" i="1"/>
  <c r="T31" i="1"/>
  <c r="S31" i="1"/>
  <c r="R31" i="1"/>
  <c r="Q31" i="1"/>
  <c r="P31" i="1"/>
  <c r="U30" i="1"/>
  <c r="T30" i="1"/>
  <c r="S30" i="1"/>
  <c r="R30" i="1"/>
  <c r="Q30" i="1"/>
  <c r="P30" i="1"/>
  <c r="U29" i="1"/>
  <c r="T29" i="1"/>
  <c r="S29" i="1"/>
  <c r="R29" i="1"/>
  <c r="Q29" i="1"/>
  <c r="P29" i="1"/>
  <c r="U28" i="1"/>
  <c r="T28" i="1"/>
  <c r="S28" i="1"/>
  <c r="R28" i="1"/>
  <c r="Q28" i="1"/>
  <c r="P28" i="1"/>
  <c r="U27" i="1"/>
  <c r="T27" i="1"/>
  <c r="S27" i="1"/>
  <c r="R27" i="1"/>
  <c r="Q27" i="1"/>
  <c r="P27" i="1"/>
  <c r="U26" i="1"/>
  <c r="T26" i="1"/>
  <c r="S26" i="1"/>
  <c r="R26" i="1"/>
  <c r="Q26" i="1"/>
  <c r="P26" i="1"/>
  <c r="U25" i="1"/>
  <c r="T25" i="1"/>
  <c r="S25" i="1"/>
  <c r="R25" i="1"/>
  <c r="Q25" i="1"/>
  <c r="P25" i="1"/>
  <c r="U24" i="1"/>
  <c r="T24" i="1"/>
  <c r="S24" i="1"/>
  <c r="R24" i="1"/>
  <c r="Q24" i="1"/>
  <c r="P24" i="1"/>
  <c r="U23" i="1"/>
  <c r="T23" i="1"/>
  <c r="S23" i="1"/>
  <c r="R23" i="1"/>
  <c r="Q23" i="1"/>
  <c r="P23" i="1"/>
  <c r="U22" i="1"/>
  <c r="T22" i="1"/>
  <c r="S22" i="1"/>
  <c r="R22" i="1"/>
  <c r="Q22" i="1"/>
  <c r="P22" i="1"/>
  <c r="U21" i="1"/>
  <c r="T21" i="1"/>
  <c r="S21" i="1"/>
  <c r="R21" i="1"/>
  <c r="Q21" i="1"/>
  <c r="P21" i="1"/>
  <c r="U20" i="1"/>
  <c r="T20" i="1"/>
  <c r="S20" i="1"/>
  <c r="R20" i="1"/>
  <c r="Q20" i="1"/>
  <c r="P20" i="1"/>
  <c r="U19" i="1"/>
  <c r="T19" i="1"/>
  <c r="S19" i="1"/>
  <c r="R19" i="1"/>
  <c r="Q19" i="1"/>
  <c r="P19" i="1"/>
  <c r="U18" i="1"/>
  <c r="T18" i="1"/>
  <c r="S18" i="1"/>
  <c r="R18" i="1"/>
  <c r="Q18" i="1"/>
  <c r="P18" i="1"/>
  <c r="U17" i="1"/>
  <c r="T17" i="1"/>
  <c r="S17" i="1"/>
  <c r="R17" i="1"/>
  <c r="Q17" i="1"/>
  <c r="P17" i="1"/>
  <c r="U16" i="1"/>
  <c r="T16" i="1"/>
  <c r="S16" i="1"/>
  <c r="R16" i="1"/>
  <c r="Q16" i="1"/>
  <c r="P16" i="1"/>
  <c r="U15" i="1"/>
  <c r="T15" i="1"/>
  <c r="S15" i="1"/>
  <c r="R15" i="1"/>
  <c r="Q15" i="1"/>
  <c r="P15" i="1"/>
  <c r="U14" i="1"/>
  <c r="T14" i="1"/>
  <c r="S14" i="1"/>
  <c r="R14" i="1"/>
  <c r="Q14" i="1"/>
  <c r="P14" i="1"/>
  <c r="U13" i="1"/>
  <c r="T13" i="1"/>
  <c r="S13" i="1"/>
  <c r="R13" i="1"/>
  <c r="Q13" i="1"/>
  <c r="P13" i="1"/>
  <c r="U12" i="1"/>
  <c r="T12" i="1"/>
  <c r="S12" i="1"/>
  <c r="R12" i="1"/>
  <c r="Q12" i="1"/>
  <c r="P12" i="1"/>
  <c r="U11" i="1"/>
  <c r="T11" i="1"/>
  <c r="S11" i="1"/>
  <c r="R11" i="1"/>
  <c r="Q11" i="1"/>
  <c r="P11" i="1"/>
  <c r="U10" i="1"/>
  <c r="T10" i="1"/>
  <c r="S10" i="1"/>
  <c r="R10" i="1"/>
  <c r="Q10" i="1"/>
  <c r="P10" i="1"/>
  <c r="U9" i="1"/>
  <c r="T9" i="1"/>
  <c r="S9" i="1"/>
  <c r="R9" i="1"/>
  <c r="Q9" i="1"/>
  <c r="P9" i="1"/>
  <c r="U8" i="1"/>
  <c r="T8" i="1"/>
  <c r="S8" i="1"/>
  <c r="R8" i="1"/>
  <c r="Q8" i="1"/>
  <c r="P8" i="1"/>
  <c r="U7" i="1"/>
  <c r="T7" i="1"/>
  <c r="S7" i="1"/>
  <c r="R7" i="1"/>
  <c r="Q7" i="1"/>
  <c r="P7" i="1"/>
  <c r="U6" i="1"/>
  <c r="T6" i="1"/>
  <c r="S6" i="1"/>
  <c r="R6" i="1"/>
  <c r="Q6" i="1"/>
  <c r="P6" i="1"/>
  <c r="U5" i="1"/>
  <c r="T5" i="1"/>
  <c r="S5" i="1"/>
  <c r="R5" i="1"/>
  <c r="Q5" i="1"/>
  <c r="P5" i="1"/>
  <c r="U4" i="1"/>
  <c r="T4" i="1"/>
  <c r="S4" i="1"/>
  <c r="R4" i="1"/>
  <c r="Q4" i="1"/>
  <c r="P4" i="1"/>
  <c r="U3" i="1"/>
  <c r="T3" i="1"/>
  <c r="S3" i="1"/>
  <c r="R3" i="1"/>
  <c r="Q3" i="1"/>
  <c r="P3" i="1"/>
  <c r="C1" i="1" l="1"/>
  <c r="D1" i="1" s="1"/>
  <c r="E1" i="1" s="1"/>
  <c r="F1" i="1" s="1"/>
  <c r="G1" i="1" s="1"/>
  <c r="H1" i="1" s="1"/>
  <c r="I1" i="1" s="1"/>
  <c r="J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B1" i="1"/>
  <c r="F102" i="1"/>
  <c r="D102" i="1"/>
  <c r="C102" i="1"/>
  <c r="F101" i="1"/>
  <c r="D101" i="1"/>
  <c r="C101" i="1"/>
  <c r="F100" i="1"/>
  <c r="D100" i="1"/>
  <c r="C100" i="1"/>
  <c r="F99" i="1"/>
  <c r="D99" i="1"/>
  <c r="C99" i="1"/>
  <c r="F98" i="1"/>
  <c r="D98" i="1"/>
  <c r="C98" i="1"/>
  <c r="F97" i="1"/>
  <c r="D97" i="1"/>
  <c r="C97" i="1"/>
  <c r="F96" i="1"/>
  <c r="D96" i="1"/>
  <c r="C96" i="1"/>
  <c r="F95" i="1"/>
  <c r="D95" i="1"/>
  <c r="C95" i="1"/>
  <c r="F94" i="1"/>
  <c r="D94" i="1"/>
  <c r="C94" i="1"/>
  <c r="F93" i="1"/>
  <c r="D93" i="1"/>
  <c r="C93" i="1"/>
  <c r="F92" i="1"/>
  <c r="D92" i="1"/>
  <c r="C92" i="1"/>
  <c r="F91" i="1"/>
  <c r="D91" i="1"/>
  <c r="C91" i="1"/>
  <c r="F90" i="1"/>
  <c r="D90" i="1"/>
  <c r="C90" i="1"/>
  <c r="F89" i="1"/>
  <c r="D89" i="1"/>
  <c r="C89" i="1"/>
  <c r="F88" i="1"/>
  <c r="D88" i="1"/>
  <c r="C88" i="1"/>
  <c r="F87" i="1"/>
  <c r="D87" i="1"/>
  <c r="C87" i="1"/>
  <c r="F86" i="1"/>
  <c r="D86" i="1"/>
  <c r="C86" i="1"/>
  <c r="F85" i="1"/>
  <c r="D85" i="1"/>
  <c r="C85" i="1"/>
  <c r="F84" i="1"/>
  <c r="D84" i="1"/>
  <c r="C84" i="1"/>
  <c r="F83" i="1"/>
  <c r="D83" i="1"/>
  <c r="C83" i="1"/>
  <c r="F82" i="1"/>
  <c r="D82" i="1"/>
  <c r="C82" i="1"/>
  <c r="F81" i="1"/>
  <c r="D81" i="1"/>
  <c r="C81" i="1"/>
  <c r="F80" i="1"/>
  <c r="D80" i="1"/>
  <c r="C80" i="1"/>
  <c r="F79" i="1"/>
  <c r="D79" i="1"/>
  <c r="C79" i="1"/>
  <c r="F78" i="1"/>
  <c r="D78" i="1"/>
  <c r="C78" i="1"/>
  <c r="F77" i="1"/>
  <c r="D77" i="1"/>
  <c r="C77" i="1"/>
  <c r="F76" i="1"/>
  <c r="D76" i="1"/>
  <c r="C76" i="1"/>
  <c r="F75" i="1"/>
  <c r="D75" i="1"/>
  <c r="C75" i="1"/>
  <c r="F74" i="1"/>
  <c r="D74" i="1"/>
  <c r="C74" i="1"/>
  <c r="F73" i="1"/>
  <c r="D73" i="1"/>
  <c r="C73" i="1"/>
  <c r="F72" i="1"/>
  <c r="D72" i="1"/>
  <c r="C72" i="1"/>
  <c r="F71" i="1"/>
  <c r="D71" i="1"/>
  <c r="C71" i="1"/>
  <c r="F70" i="1"/>
  <c r="D70" i="1"/>
  <c r="C70" i="1"/>
  <c r="F69" i="1"/>
  <c r="D69" i="1"/>
  <c r="C69" i="1"/>
  <c r="F68" i="1"/>
  <c r="D68" i="1"/>
  <c r="C68" i="1"/>
  <c r="F67" i="1"/>
  <c r="D67" i="1"/>
  <c r="C67" i="1"/>
  <c r="F66" i="1"/>
  <c r="D66" i="1"/>
  <c r="C66" i="1"/>
  <c r="F65" i="1"/>
  <c r="D65" i="1"/>
  <c r="C65" i="1"/>
  <c r="F64" i="1"/>
  <c r="D64" i="1"/>
  <c r="C64" i="1"/>
  <c r="F63" i="1"/>
  <c r="D63" i="1"/>
  <c r="C63" i="1"/>
  <c r="F62" i="1"/>
  <c r="D62" i="1"/>
  <c r="C62" i="1"/>
  <c r="F61" i="1"/>
  <c r="D61" i="1"/>
  <c r="C61" i="1"/>
  <c r="F60" i="1"/>
  <c r="D60" i="1"/>
  <c r="C60" i="1"/>
  <c r="F59" i="1"/>
  <c r="D59" i="1"/>
  <c r="C59" i="1"/>
  <c r="F58" i="1"/>
  <c r="D58" i="1"/>
  <c r="C58" i="1"/>
  <c r="F57" i="1"/>
  <c r="D57" i="1"/>
  <c r="C57" i="1"/>
  <c r="F56" i="1"/>
  <c r="D56" i="1"/>
  <c r="C56" i="1"/>
  <c r="F55" i="1"/>
  <c r="D55" i="1"/>
  <c r="C55" i="1"/>
  <c r="F54" i="1"/>
  <c r="D54" i="1"/>
  <c r="C54" i="1"/>
  <c r="F53" i="1"/>
  <c r="D53" i="1"/>
  <c r="C53" i="1"/>
  <c r="F52" i="1"/>
  <c r="D52" i="1"/>
  <c r="C52" i="1"/>
  <c r="F51" i="1"/>
  <c r="D51" i="1"/>
  <c r="C51" i="1"/>
  <c r="F50" i="1"/>
  <c r="D50" i="1"/>
  <c r="C50" i="1"/>
  <c r="F49" i="1"/>
  <c r="D49" i="1"/>
  <c r="C49" i="1"/>
  <c r="F48" i="1"/>
  <c r="D48" i="1"/>
  <c r="C48" i="1"/>
  <c r="F47" i="1"/>
  <c r="D47" i="1"/>
  <c r="C47" i="1"/>
  <c r="F46" i="1"/>
  <c r="D46" i="1"/>
  <c r="C46" i="1"/>
  <c r="F45" i="1"/>
  <c r="D45" i="1"/>
  <c r="C45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O2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M4" i="1"/>
  <c r="M3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C5" i="1"/>
  <c r="C4" i="1"/>
  <c r="C3" i="1"/>
  <c r="D5" i="1"/>
  <c r="D4" i="1"/>
  <c r="D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19" i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G37" i="1" s="1"/>
  <c r="G38" i="1" s="1"/>
  <c r="G39" i="1" s="1"/>
  <c r="G40" i="1" s="1"/>
  <c r="G41" i="1" s="1"/>
  <c r="G42" i="1" s="1"/>
  <c r="G43" i="1" s="1"/>
  <c r="G44" i="1" s="1"/>
  <c r="G45" i="1" s="1"/>
  <c r="G46" i="1" s="1"/>
  <c r="G47" i="1" s="1"/>
  <c r="G48" i="1" s="1"/>
  <c r="G49" i="1" s="1"/>
  <c r="G50" i="1" s="1"/>
  <c r="G5" i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4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G3" i="1"/>
  <c r="D6" i="1" l="1"/>
  <c r="C6" i="1"/>
  <c r="H7" i="1"/>
  <c r="D7" i="1" l="1"/>
  <c r="C7" i="1"/>
  <c r="H8" i="1"/>
  <c r="H9" i="1" l="1"/>
  <c r="C8" i="1"/>
  <c r="D8" i="1"/>
  <c r="C9" i="1" l="1"/>
  <c r="H10" i="1"/>
  <c r="D9" i="1"/>
  <c r="D10" i="1" l="1"/>
  <c r="C10" i="1"/>
  <c r="H11" i="1"/>
  <c r="D11" i="1" l="1"/>
  <c r="C11" i="1"/>
  <c r="H12" i="1"/>
  <c r="C12" i="1" l="1"/>
  <c r="H13" i="1"/>
  <c r="D12" i="1"/>
  <c r="C13" i="1" l="1"/>
  <c r="H14" i="1"/>
  <c r="D13" i="1"/>
  <c r="C14" i="1" l="1"/>
  <c r="H15" i="1"/>
  <c r="D14" i="1"/>
  <c r="C15" i="1" l="1"/>
  <c r="H16" i="1"/>
  <c r="D15" i="1"/>
  <c r="H17" i="1" l="1"/>
  <c r="D16" i="1"/>
  <c r="C16" i="1"/>
  <c r="H18" i="1" l="1"/>
  <c r="D17" i="1"/>
  <c r="C17" i="1"/>
  <c r="D18" i="1" l="1"/>
  <c r="C18" i="1"/>
  <c r="H19" i="1"/>
  <c r="H20" i="1" l="1"/>
  <c r="D19" i="1"/>
  <c r="C19" i="1"/>
  <c r="H21" i="1" l="1"/>
  <c r="D20" i="1"/>
  <c r="C20" i="1"/>
  <c r="D21" i="1" l="1"/>
  <c r="C21" i="1"/>
  <c r="H22" i="1"/>
  <c r="D22" i="1" l="1"/>
  <c r="C22" i="1"/>
  <c r="H23" i="1"/>
  <c r="D23" i="1" l="1"/>
  <c r="C23" i="1"/>
  <c r="H24" i="1"/>
  <c r="H25" i="1" l="1"/>
  <c r="D24" i="1"/>
  <c r="C24" i="1"/>
  <c r="D25" i="1" l="1"/>
  <c r="H26" i="1"/>
  <c r="C25" i="1"/>
  <c r="D26" i="1" l="1"/>
  <c r="C26" i="1"/>
  <c r="H27" i="1"/>
  <c r="H28" i="1" l="1"/>
  <c r="D27" i="1"/>
  <c r="C27" i="1"/>
  <c r="H29" i="1" l="1"/>
  <c r="D28" i="1"/>
  <c r="C28" i="1"/>
  <c r="H30" i="1" l="1"/>
  <c r="D29" i="1"/>
  <c r="C29" i="1"/>
  <c r="D30" i="1" l="1"/>
  <c r="C30" i="1"/>
  <c r="H31" i="1"/>
  <c r="H32" i="1" l="1"/>
  <c r="C31" i="1"/>
  <c r="D31" i="1"/>
  <c r="D32" i="1" l="1"/>
  <c r="C32" i="1"/>
  <c r="H33" i="1"/>
  <c r="D33" i="1" l="1"/>
  <c r="C33" i="1"/>
  <c r="H34" i="1"/>
  <c r="D34" i="1" l="1"/>
  <c r="C34" i="1"/>
  <c r="H35" i="1"/>
  <c r="H36" i="1" l="1"/>
  <c r="C35" i="1"/>
  <c r="D35" i="1"/>
  <c r="H37" i="1" l="1"/>
  <c r="D36" i="1"/>
  <c r="C36" i="1"/>
  <c r="D37" i="1" l="1"/>
  <c r="H38" i="1"/>
  <c r="C37" i="1"/>
  <c r="D38" i="1" l="1"/>
  <c r="C38" i="1"/>
  <c r="H39" i="1"/>
  <c r="H40" i="1" l="1"/>
  <c r="D39" i="1"/>
  <c r="C39" i="1"/>
  <c r="H41" i="1" l="1"/>
  <c r="D40" i="1"/>
  <c r="C40" i="1"/>
  <c r="H42" i="1" l="1"/>
  <c r="D41" i="1"/>
  <c r="C41" i="1"/>
  <c r="D42" i="1" l="1"/>
  <c r="C42" i="1"/>
  <c r="H43" i="1"/>
  <c r="C43" i="1" l="1"/>
  <c r="D43" i="1"/>
  <c r="H44" i="1"/>
  <c r="H45" i="1" l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D44" i="1"/>
  <c r="C44" i="1"/>
</calcChain>
</file>

<file path=xl/sharedStrings.xml><?xml version="1.0" encoding="utf-8"?>
<sst xmlns="http://schemas.openxmlformats.org/spreadsheetml/2006/main" count="660" uniqueCount="44">
  <si>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</si>
  <si>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</si>
  <si>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</si>
  <si>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</si>
  <si>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</si>
  <si>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</si>
  <si>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</si>
  <si>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</si>
  <si>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skillname paste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</si>
  <si>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</si>
  <si>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</si>
  <si>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</si>
  <si>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</si>
  <si>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</si>
  <si>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</si>
  <si>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</si>
  <si>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</si>
  <si>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</si>
  <si>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</si>
  <si>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</si>
  <si>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</si>
  <si>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</si>
  <si>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</si>
  <si>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</si>
  <si>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</si>
  <si>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</si>
  <si>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augmentSkillLevel1,1,</t>
  </si>
  <si>
    <t>neymer</t>
  </si>
  <si>
    <t>Soldier</t>
  </si>
  <si>
    <t>itemCost,300000,</t>
  </si>
  <si>
    <t>itemCost,600000,</t>
  </si>
  <si>
    <t>augmentSkillLevel1,3,</t>
  </si>
  <si>
    <t>augmentSkillLevel1,5,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</si>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</sst>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2"/>
  <sheetViews>
    <sheetView tabSelected="1" topLeftCell="S1" zoomScaleNormal="100" workbookViewId="0">
      <selection activeCell="AE10" sqref="AE10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8" max="28" width="1.5703125" style="5" bestFit="1" customWidth="1"/>
  </cols>
  <sheetData>
    <row r="1" spans="1:28" x14ac:dyDescent="0.25">
      <c r="A1" s="5">
        <v>1</v>
      </c>
      <c r="B1" s="5">
        <f>A1+1</f>
        <v>2</v>
      </c>
      <c r="C1" s="5">
        <f t="shared" ref="C1:X1" si="0">B1+1</f>
        <v>3</v>
      </c>
      <c r="D1" s="5">
        <f t="shared" si="0"/>
        <v>4</v>
      </c>
      <c r="E1" s="5">
        <f t="shared" si="0"/>
        <v>5</v>
      </c>
      <c r="F1" s="5">
        <f t="shared" si="0"/>
        <v>6</v>
      </c>
      <c r="G1" s="5">
        <f t="shared" si="0"/>
        <v>7</v>
      </c>
      <c r="H1" s="5">
        <f t="shared" si="0"/>
        <v>8</v>
      </c>
      <c r="I1" s="5">
        <f t="shared" si="0"/>
        <v>9</v>
      </c>
      <c r="J1" s="5">
        <f t="shared" si="0"/>
        <v>10</v>
      </c>
      <c r="K1" s="5"/>
      <c r="L1" s="5">
        <f>J1+1</f>
        <v>11</v>
      </c>
      <c r="M1" s="5">
        <f t="shared" si="0"/>
        <v>12</v>
      </c>
      <c r="N1" s="5">
        <f t="shared" si="0"/>
        <v>13</v>
      </c>
      <c r="O1" s="9">
        <f t="shared" si="0"/>
        <v>14</v>
      </c>
      <c r="P1" s="9">
        <f t="shared" si="0"/>
        <v>15</v>
      </c>
      <c r="Q1" s="9">
        <f t="shared" si="0"/>
        <v>16</v>
      </c>
      <c r="R1" s="9">
        <f t="shared" si="0"/>
        <v>17</v>
      </c>
      <c r="S1" s="9">
        <f t="shared" si="0"/>
        <v>18</v>
      </c>
      <c r="T1" s="9">
        <f t="shared" si="0"/>
        <v>19</v>
      </c>
      <c r="U1" s="9">
        <f t="shared" si="0"/>
        <v>20</v>
      </c>
      <c r="V1" s="5">
        <f t="shared" si="0"/>
        <v>21</v>
      </c>
      <c r="W1" s="9">
        <f t="shared" si="0"/>
        <v>22</v>
      </c>
      <c r="X1" s="9">
        <f t="shared" si="0"/>
        <v>23</v>
      </c>
      <c r="Z1" s="9"/>
      <c r="AA1" s="9"/>
    </row>
    <row r="2" spans="1:28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9</v>
      </c>
      <c r="H2" s="2" t="s">
        <v>27</v>
      </c>
      <c r="I2" s="2" t="s">
        <v>8</v>
      </c>
      <c r="J2" s="2" t="s">
        <v>36</v>
      </c>
      <c r="K2" s="2" t="s">
        <v>41</v>
      </c>
      <c r="L2" s="4" t="s">
        <v>34</v>
      </c>
      <c r="M2" s="4" t="s">
        <v>35</v>
      </c>
      <c r="O2" s="10" t="str">
        <f>"Copy from N to T Into the files named "&amp;H3&amp;G3&amp;" etc"</f>
        <v>Copy from N to T Into the files named Soldier1 etc</v>
      </c>
      <c r="P2" s="10"/>
      <c r="Q2" s="10"/>
      <c r="R2" s="10"/>
      <c r="S2" s="10"/>
      <c r="T2" s="10"/>
      <c r="U2" s="10"/>
      <c r="W2" s="1" t="s">
        <v>38</v>
      </c>
      <c r="Z2" s="1" t="s">
        <v>43</v>
      </c>
    </row>
    <row r="3" spans="1:28" x14ac:dyDescent="0.25">
      <c r="A3" s="5" t="s">
        <v>42</v>
      </c>
      <c r="B3" s="5" t="s">
        <v>0</v>
      </c>
      <c r="C3" s="5" t="str">
        <f t="shared" ref="C3:C19" si="1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24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28</v>
      </c>
      <c r="I3" s="3" t="s">
        <v>10</v>
      </c>
      <c r="J3" s="3" t="s">
        <v>37</v>
      </c>
      <c r="K3" s="3" t="s">
        <v>40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2">IF($I3&lt;&gt;"","echo "&amp;B3&amp;" &gt;&gt; .\items\materia\"&amp;$J3&amp;"\"&amp;$H3&amp;$G3&amp;".dbr","")</f>
        <v>echo itemCost,100000, &gt;&gt; .\items\materia\class0001\Soldier1.dbr</v>
      </c>
      <c r="R3" t="str">
        <f t="shared" si="2"/>
        <v>echo description,dailCompDescSoldier1, &gt;&gt; .\items\materia\class0001\Soldier1.dbr</v>
      </c>
      <c r="S3" t="str">
        <f t="shared" si="2"/>
        <v>echo itemText,dailCompTextSoldier1, &gt;&gt; .\items\materia\class0001\Soldier1.dbr</v>
      </c>
      <c r="T3" t="str">
        <f t="shared" si="2"/>
        <v>echo augmentMasteryLevel1,1, &gt;&gt; .\items\materia\class0001\Soldier1.dbr</v>
      </c>
      <c r="U3" t="str">
        <f t="shared" si="2"/>
        <v>echo augmentMasteryName1,records/skills/playerclass01/_classtraining_class01.dbr, &gt;&gt; .\items\materia\class0001\Soldier1.dbr</v>
      </c>
      <c r="V3" s="5" t="s">
        <v>39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39</v>
      </c>
      <c r="Z3" t="str">
        <f>IF(I2&lt;&gt;""," echo dailCompDesc"&amp;H3&amp;G3&amp;"="&amp;H3&amp;"'s Gift of DAIL &gt;&gt; F:\SHTEEM\steamapps\common\Grim Dawn\mods\DAIL\source\Text_EN\DAILtags_gen.txt","")</f>
        <v xml:space="preserve"> echo dailCompDescSoldier1=Soldier's Gift of DAIL &gt;&gt; F:\SHTEEM\steamapps\common\Grim Dawn\mods\DAIL\source\Text_EN\DAILtags_gen.txt</v>
      </c>
      <c r="AA3" t="str">
        <f>IF(I2&lt;&gt;"","echo dailCompText"&amp;H3&amp;G3&amp;"="&amp;H3&amp;"'s Gift of DAIL &gt;&gt; F:\SHTEEM\steamapps\common\Grim Dawn\mods\DAIL\source\Text_EN\DAILtags_gen.txt","")</f>
        <v>echo dailCompTextSoldier1=Soldier's Gift of DAIL &gt;&gt; F:\SHTEEM\steamapps\common\Grim Dawn\mods\DAIL\source\Text_EN\DAILtags_gen.txt</v>
      </c>
      <c r="AB3" s="5" t="s">
        <v>39</v>
      </c>
    </row>
    <row r="4" spans="1:28" x14ac:dyDescent="0.25">
      <c r="A4" s="5" t="s">
        <v>42</v>
      </c>
      <c r="B4" s="5" t="s">
        <v>29</v>
      </c>
      <c r="C4" s="5" t="str">
        <f t="shared" si="1"/>
        <v>description,dailCompDescSoldier2,</v>
      </c>
      <c r="D4" s="5" t="str">
        <f t="shared" ref="D4:D18" si="3">"itemText,dailCompText"&amp;H4&amp;G4&amp;","</f>
        <v>itemText,dailCompTextSoldier2,</v>
      </c>
      <c r="E4" s="5" t="s">
        <v>1</v>
      </c>
      <c r="F4" s="5" t="str">
        <f>"augmentMasteryName1,records/skills"&amp;I6&amp;","</f>
        <v>augmentMasteryName1,records/skills/playerclass01/bladearc1.dbr,</v>
      </c>
      <c r="G4" s="7">
        <f>IF(I4&lt;&gt;"",G3+1,"")</f>
        <v>2</v>
      </c>
      <c r="H4" s="8" t="str">
        <f>H3</f>
        <v>Soldier</v>
      </c>
      <c r="I4" s="3" t="s">
        <v>10</v>
      </c>
      <c r="J4" s="8" t="str">
        <f>J3</f>
        <v>class0001</v>
      </c>
      <c r="K4" s="8" t="str">
        <f>K3</f>
        <v>dailoneskill0001</v>
      </c>
      <c r="L4" s="5" t="str">
        <f t="shared" ref="L4:L67" si="4">"lootName"&amp;G4&amp;",DAIL/items/materia/"&amp;J4&amp;"/"&amp;H4&amp;G4&amp;".dbr"&amp;","</f>
        <v>lootName2,DAIL/items/materia/class0001/Soldier2.dbr,</v>
      </c>
      <c r="M4" s="5" t="str">
        <f t="shared" ref="M4:M67" si="5">"lootWeight"&amp;G4&amp;",1,"</f>
        <v>lootWeight2,1,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6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7">IF($I4&lt;&gt;"","echo "&amp;B4&amp;" &gt;&gt; .\items\materia\"&amp;$J4&amp;"\"&amp;$H4&amp;$G4&amp;".dbr","")</f>
        <v>echo itemCost,300000, &gt;&gt; .\items\materia\class0001\Soldier2.dbr</v>
      </c>
      <c r="R4" t="str">
        <f t="shared" ref="R4:R67" si="8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9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10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11">IF($I4&lt;&gt;"","echo "&amp;F4&amp;" &gt;&gt; .\items\materia\"&amp;$J4&amp;"\"&amp;$H4&amp;$G4&amp;".dbr","")</f>
        <v>echo augmentMasteryName1,records/skills/playerclass01/bladearc1.dbr, &gt;&gt; .\items\materia\class0001\Soldier2.dbr</v>
      </c>
      <c r="V4" s="5" t="s">
        <v>39</v>
      </c>
      <c r="W4" t="str">
        <f t="shared" ref="W4:W67" si="12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13">IF($I4&lt;&gt;"","echo "&amp;M4&amp;" &gt;&gt; .\items\loottables\"&amp;$K4&amp;".dbr","")</f>
        <v>echo lootWeight2,1, &gt;&gt; .\items\loottables\dailoneskill0001.dbr</v>
      </c>
      <c r="Y4" s="5" t="s">
        <v>39</v>
      </c>
      <c r="Z4" t="str">
        <f t="shared" ref="Z4:Z67" si="14">IF(I3&lt;&gt;""," echo dailCompDesc"&amp;H4&amp;G4&amp;"="&amp;H4&amp;"'s Gift of DAIL &gt;&gt; ..\source\text_en\DAILtags_gen.txt","")</f>
        <v xml:space="preserve"> echo dailCompDescSoldier2=Soldier's Gift of DAIL &gt;&gt; ..\source\text_en\DAILtags_gen.txt</v>
      </c>
      <c r="AA4" t="str">
        <f t="shared" ref="AA4:AA67" si="15">IF(I3&lt;&gt;"","echo dailCompText"&amp;H4&amp;G4&amp;"="&amp;H4&amp;"'s Gift of DAIL &gt;&gt; ..\source\text_en\DAILtags_gen.txt","")</f>
        <v>echo dailCompTextSoldier2=Soldier's Gift of DAIL &gt;&gt; ..\source\text_en\DAILtags_gen.txt</v>
      </c>
      <c r="AB4" s="5" t="s">
        <v>39</v>
      </c>
    </row>
    <row r="5" spans="1:28" x14ac:dyDescent="0.25">
      <c r="A5" s="5" t="s">
        <v>42</v>
      </c>
      <c r="B5" s="5" t="s">
        <v>30</v>
      </c>
      <c r="C5" s="5" t="str">
        <f t="shared" si="1"/>
        <v>description,dailCompDescSoldier3,</v>
      </c>
      <c r="D5" s="5" t="str">
        <f t="shared" si="3"/>
        <v>itemText,dailCompTextSoldier3,</v>
      </c>
      <c r="E5" s="5" t="s">
        <v>25</v>
      </c>
      <c r="F5" s="5" t="str">
        <f>"augmentMasteryName1,records/skills"&amp;I7&amp;","</f>
        <v>augmentMasteryName1,records/skills/playerclass01/blitz1.dbr,</v>
      </c>
      <c r="G5" s="7">
        <f t="shared" ref="G5:G68" si="16">IF(I5&lt;&gt;"",G4+1,"")</f>
        <v>3</v>
      </c>
      <c r="H5" s="8" t="str">
        <f t="shared" ref="H5:H68" si="17">H4</f>
        <v>Soldier</v>
      </c>
      <c r="I5" s="3" t="s">
        <v>10</v>
      </c>
      <c r="J5" s="8" t="str">
        <f t="shared" ref="J5:K68" si="18">J4</f>
        <v>class0001</v>
      </c>
      <c r="K5" s="8" t="str">
        <f t="shared" si="18"/>
        <v>dailoneskill0001</v>
      </c>
      <c r="L5" s="5" t="str">
        <f t="shared" si="4"/>
        <v>lootName3,DAIL/items/materia/class0001/Soldier3.dbr,</v>
      </c>
      <c r="M5" s="5" t="str">
        <f t="shared" si="5"/>
        <v>lootWeight3,1,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6"/>
        <v>echo relicBitmap,items/craftingparts/components/component_a52_bristlyfur_b.tex, &gt;&gt; .\items\materia\class0001\Soldier3.dbr</v>
      </c>
      <c r="Q5" t="str">
        <f t="shared" si="7"/>
        <v>echo itemCost,600000, &gt;&gt; .\items\materia\class0001\Soldier3.dbr</v>
      </c>
      <c r="R5" t="str">
        <f t="shared" si="8"/>
        <v>echo description,dailCompDescSoldier3, &gt;&gt; .\items\materia\class0001\Soldier3.dbr</v>
      </c>
      <c r="S5" t="str">
        <f t="shared" si="9"/>
        <v>echo itemText,dailCompTextSoldier3, &gt;&gt; .\items\materia\class0001\Soldier3.dbr</v>
      </c>
      <c r="T5" t="str">
        <f t="shared" si="10"/>
        <v>echo augmentMasteryLevel1,3, &gt;&gt; .\items\materia\class0001\Soldier3.dbr</v>
      </c>
      <c r="U5" t="str">
        <f t="shared" si="11"/>
        <v>echo augmentMasteryName1,records/skills/playerclass01/blitz1.dbr, &gt;&gt; .\items\materia\class0001\Soldier3.dbr</v>
      </c>
      <c r="V5" s="5" t="s">
        <v>39</v>
      </c>
      <c r="W5" t="str">
        <f t="shared" si="12"/>
        <v>echo lootName3,DAIL/items/materia/class0001/Soldier3.dbr, &gt;&gt; .\items\loottables\dailoneskill0001.dbr</v>
      </c>
      <c r="X5" t="str">
        <f t="shared" si="13"/>
        <v>echo lootWeight3,1, &gt;&gt; .\items\loottables\dailoneskill0001.dbr</v>
      </c>
      <c r="Y5" s="5" t="s">
        <v>39</v>
      </c>
      <c r="Z5" t="str">
        <f t="shared" si="14"/>
        <v xml:space="preserve"> echo dailCompDescSoldier3=Soldier's Gift of DAIL &gt;&gt; ..\source\text_en\DAILtags_gen.txt</v>
      </c>
      <c r="AA5" t="str">
        <f t="shared" si="15"/>
        <v>echo dailCompTextSoldier3=Soldier's Gift of DAIL &gt;&gt; ..\source\text_en\DAILtags_gen.txt</v>
      </c>
      <c r="AB5" s="5" t="s">
        <v>39</v>
      </c>
    </row>
    <row r="6" spans="1:28" x14ac:dyDescent="0.25">
      <c r="A6" s="5" t="s">
        <v>42</v>
      </c>
      <c r="B6" s="5" t="s">
        <v>0</v>
      </c>
      <c r="C6" s="5" t="str">
        <f t="shared" si="1"/>
        <v>description,dailCompDescSoldier4,</v>
      </c>
      <c r="D6" s="5" t="str">
        <f t="shared" si="3"/>
        <v>itemText,dailCompTextSoldier4,</v>
      </c>
      <c r="E6" s="5" t="s">
        <v>26</v>
      </c>
      <c r="F6" s="5" t="str">
        <f>"augmentSkillName1,records/skills"&amp;I6&amp;","</f>
        <v>augmentSkillName1,records/skills/playerclass01/bladearc1.dbr,</v>
      </c>
      <c r="G6" s="7">
        <f t="shared" si="16"/>
        <v>4</v>
      </c>
      <c r="H6" s="8" t="str">
        <f t="shared" si="17"/>
        <v>Soldier</v>
      </c>
      <c r="I6" s="3" t="s">
        <v>11</v>
      </c>
      <c r="J6" s="8" t="str">
        <f t="shared" si="18"/>
        <v>class0001</v>
      </c>
      <c r="K6" s="8" t="str">
        <f t="shared" si="18"/>
        <v>dailoneskill0001</v>
      </c>
      <c r="L6" s="5" t="str">
        <f t="shared" si="4"/>
        <v>lootName4,DAIL/items/materia/class0001/Soldier4.dbr,</v>
      </c>
      <c r="M6" s="5" t="str">
        <f t="shared" si="5"/>
        <v>lootWeight4,1,</v>
      </c>
      <c r="O6" t="str">
        <f t="shared" ref="O4:O67" si="19">IF(I6&lt;&gt;"","copy .\dail_base.dbr .\items\materia\"&amp;J6&amp;"\"&amp;H6&amp;G6&amp;".dbr /y"&amp;"","")</f>
        <v>copy .\dail_base.dbr .\items\materia\class0001\Soldier4.dbr /y</v>
      </c>
      <c r="P6" t="str">
        <f t="shared" si="6"/>
        <v>echo relicBitmap,items/craftingparts/components/component_a52_bristlyfur_b.tex, &gt;&gt; .\items\materia\class0001\Soldier4.dbr</v>
      </c>
      <c r="Q6" t="str">
        <f t="shared" si="7"/>
        <v>echo itemCost,100000, &gt;&gt; .\items\materia\class0001\Soldier4.dbr</v>
      </c>
      <c r="R6" t="str">
        <f t="shared" si="8"/>
        <v>echo description,dailCompDescSoldier4, &gt;&gt; .\items\materia\class0001\Soldier4.dbr</v>
      </c>
      <c r="S6" t="str">
        <f t="shared" si="9"/>
        <v>echo itemText,dailCompTextSoldier4, &gt;&gt; .\items\materia\class0001\Soldier4.dbr</v>
      </c>
      <c r="T6" t="str">
        <f t="shared" si="10"/>
        <v>echo augmentSkillLevel1,1, &gt;&gt; .\items\materia\class0001\Soldier4.dbr</v>
      </c>
      <c r="U6" t="str">
        <f t="shared" si="11"/>
        <v>echo augmentSkillName1,records/skills/playerclass01/bladearc1.dbr, &gt;&gt; .\items\materia\class0001\Soldier4.dbr</v>
      </c>
      <c r="V6" s="5" t="s">
        <v>39</v>
      </c>
      <c r="W6" t="str">
        <f t="shared" si="12"/>
        <v>echo lootName4,DAIL/items/materia/class0001/Soldier4.dbr, &gt;&gt; .\items\loottables\dailoneskill0001.dbr</v>
      </c>
      <c r="X6" t="str">
        <f t="shared" si="13"/>
        <v>echo lootWeight4,1, &gt;&gt; .\items\loottables\dailoneskill0001.dbr</v>
      </c>
      <c r="Y6" s="5" t="s">
        <v>39</v>
      </c>
      <c r="Z6" t="str">
        <f t="shared" si="14"/>
        <v xml:space="preserve"> echo dailCompDescSoldier4=Soldier's Gift of DAIL &gt;&gt; ..\source\text_en\DAILtags_gen.txt</v>
      </c>
      <c r="AA6" t="str">
        <f t="shared" si="15"/>
        <v>echo dailCompTextSoldier4=Soldier's Gift of DAIL &gt;&gt; ..\source\text_en\DAILtags_gen.txt</v>
      </c>
      <c r="AB6" s="5" t="s">
        <v>39</v>
      </c>
    </row>
    <row r="7" spans="1:28" x14ac:dyDescent="0.25">
      <c r="A7" s="5" t="s">
        <v>42</v>
      </c>
      <c r="B7" s="5" t="s">
        <v>0</v>
      </c>
      <c r="C7" s="5" t="str">
        <f t="shared" si="1"/>
        <v>description,dailCompDescSoldier5,</v>
      </c>
      <c r="D7" s="5" t="str">
        <f t="shared" si="3"/>
        <v>itemText,dailCompTextSoldier5,</v>
      </c>
      <c r="E7" s="5" t="s">
        <v>26</v>
      </c>
      <c r="F7" s="5" t="str">
        <f t="shared" ref="F7:F18" si="20">"augmentSkillName1,records/skills"&amp;I7&amp;","</f>
        <v>augmentSkillName1,records/skills/playerclass01/blitz1.dbr,</v>
      </c>
      <c r="G7" s="7">
        <f t="shared" si="16"/>
        <v>5</v>
      </c>
      <c r="H7" s="8" t="str">
        <f t="shared" si="17"/>
        <v>Soldier</v>
      </c>
      <c r="I7" s="3" t="s">
        <v>12</v>
      </c>
      <c r="J7" s="8" t="str">
        <f t="shared" si="18"/>
        <v>class0001</v>
      </c>
      <c r="K7" s="8" t="str">
        <f t="shared" si="18"/>
        <v>dailoneskill0001</v>
      </c>
      <c r="L7" s="5" t="str">
        <f t="shared" si="4"/>
        <v>lootName5,DAIL/items/materia/class0001/Soldier5.dbr,</v>
      </c>
      <c r="M7" s="5" t="str">
        <f t="shared" si="5"/>
        <v>lootWeight5,1,</v>
      </c>
      <c r="O7" t="str">
        <f t="shared" si="19"/>
        <v>copy .\dail_base.dbr .\items\materia\class0001\Soldier5.dbr /y</v>
      </c>
      <c r="P7" t="str">
        <f t="shared" si="6"/>
        <v>echo relicBitmap,items/craftingparts/components/component_a52_bristlyfur_b.tex, &gt;&gt; .\items\materia\class0001\Soldier5.dbr</v>
      </c>
      <c r="Q7" t="str">
        <f t="shared" si="7"/>
        <v>echo itemCost,100000, &gt;&gt; .\items\materia\class0001\Soldier5.dbr</v>
      </c>
      <c r="R7" t="str">
        <f t="shared" si="8"/>
        <v>echo description,dailCompDescSoldier5, &gt;&gt; .\items\materia\class0001\Soldier5.dbr</v>
      </c>
      <c r="S7" t="str">
        <f t="shared" si="9"/>
        <v>echo itemText,dailCompTextSoldier5, &gt;&gt; .\items\materia\class0001\Soldier5.dbr</v>
      </c>
      <c r="T7" t="str">
        <f t="shared" si="10"/>
        <v>echo augmentSkillLevel1,1, &gt;&gt; .\items\materia\class0001\Soldier5.dbr</v>
      </c>
      <c r="U7" t="str">
        <f t="shared" si="11"/>
        <v>echo augmentSkillName1,records/skills/playerclass01/blitz1.dbr, &gt;&gt; .\items\materia\class0001\Soldier5.dbr</v>
      </c>
      <c r="V7" s="5" t="s">
        <v>39</v>
      </c>
      <c r="W7" t="str">
        <f t="shared" si="12"/>
        <v>echo lootName5,DAIL/items/materia/class0001/Soldier5.dbr, &gt;&gt; .\items\loottables\dailoneskill0001.dbr</v>
      </c>
      <c r="X7" t="str">
        <f t="shared" si="13"/>
        <v>echo lootWeight5,1, &gt;&gt; .\items\loottables\dailoneskill0001.dbr</v>
      </c>
      <c r="Y7" s="5" t="s">
        <v>39</v>
      </c>
      <c r="Z7" t="str">
        <f t="shared" si="14"/>
        <v xml:space="preserve"> echo dailCompDescSoldier5=Soldier's Gift of DAIL &gt;&gt; ..\source\text_en\DAILtags_gen.txt</v>
      </c>
      <c r="AA7" t="str">
        <f t="shared" si="15"/>
        <v>echo dailCompTextSoldier5=Soldier's Gift of DAIL &gt;&gt; ..\source\text_en\DAILtags_gen.txt</v>
      </c>
      <c r="AB7" s="5" t="s">
        <v>39</v>
      </c>
    </row>
    <row r="8" spans="1:28" x14ac:dyDescent="0.25">
      <c r="A8" s="5" t="s">
        <v>42</v>
      </c>
      <c r="B8" s="5" t="s">
        <v>0</v>
      </c>
      <c r="C8" s="5" t="str">
        <f t="shared" si="1"/>
        <v>description,dailCompDescSoldier6,</v>
      </c>
      <c r="D8" s="5" t="str">
        <f t="shared" si="3"/>
        <v>itemText,dailCompTextSoldier6,</v>
      </c>
      <c r="E8" s="5" t="s">
        <v>26</v>
      </c>
      <c r="F8" s="5" t="str">
        <f t="shared" si="20"/>
        <v>augmentSkillName1,records/skills/playerclass01/cadence1.dbr,</v>
      </c>
      <c r="G8" s="7">
        <f t="shared" si="16"/>
        <v>6</v>
      </c>
      <c r="H8" s="8" t="str">
        <f t="shared" si="17"/>
        <v>Soldier</v>
      </c>
      <c r="I8" s="3" t="s">
        <v>13</v>
      </c>
      <c r="J8" s="8" t="str">
        <f t="shared" si="18"/>
        <v>class0001</v>
      </c>
      <c r="K8" s="8" t="str">
        <f t="shared" si="18"/>
        <v>dailoneskill0001</v>
      </c>
      <c r="L8" s="5" t="str">
        <f t="shared" si="4"/>
        <v>lootName6,DAIL/items/materia/class0001/Soldier6.dbr,</v>
      </c>
      <c r="M8" s="5" t="str">
        <f t="shared" si="5"/>
        <v>lootWeight6,1,</v>
      </c>
      <c r="O8" t="str">
        <f t="shared" si="19"/>
        <v>copy .\dail_base.dbr .\items\materia\class0001\Soldier6.dbr /y</v>
      </c>
      <c r="P8" t="str">
        <f t="shared" si="6"/>
        <v>echo relicBitmap,items/craftingparts/components/component_a52_bristlyfur_b.tex, &gt;&gt; .\items\materia\class0001\Soldier6.dbr</v>
      </c>
      <c r="Q8" t="str">
        <f t="shared" si="7"/>
        <v>echo itemCost,100000, &gt;&gt; .\items\materia\class0001\Soldier6.dbr</v>
      </c>
      <c r="R8" t="str">
        <f t="shared" si="8"/>
        <v>echo description,dailCompDescSoldier6, &gt;&gt; .\items\materia\class0001\Soldier6.dbr</v>
      </c>
      <c r="S8" t="str">
        <f t="shared" si="9"/>
        <v>echo itemText,dailCompTextSoldier6, &gt;&gt; .\items\materia\class0001\Soldier6.dbr</v>
      </c>
      <c r="T8" t="str">
        <f t="shared" si="10"/>
        <v>echo augmentSkillLevel1,1, &gt;&gt; .\items\materia\class0001\Soldier6.dbr</v>
      </c>
      <c r="U8" t="str">
        <f t="shared" si="11"/>
        <v>echo augmentSkillName1,records/skills/playerclass01/cadence1.dbr, &gt;&gt; .\items\materia\class0001\Soldier6.dbr</v>
      </c>
      <c r="V8" s="5" t="s">
        <v>39</v>
      </c>
      <c r="W8" t="str">
        <f t="shared" si="12"/>
        <v>echo lootName6,DAIL/items/materia/class0001/Soldier6.dbr, &gt;&gt; .\items\loottables\dailoneskill0001.dbr</v>
      </c>
      <c r="X8" t="str">
        <f t="shared" si="13"/>
        <v>echo lootWeight6,1, &gt;&gt; .\items\loottables\dailoneskill0001.dbr</v>
      </c>
      <c r="Y8" s="5" t="s">
        <v>39</v>
      </c>
      <c r="Z8" t="str">
        <f t="shared" si="14"/>
        <v xml:space="preserve"> echo dailCompDescSoldier6=Soldier's Gift of DAIL &gt;&gt; ..\source\text_en\DAILtags_gen.txt</v>
      </c>
      <c r="AA8" t="str">
        <f t="shared" si="15"/>
        <v>echo dailCompTextSoldier6=Soldier's Gift of DAIL &gt;&gt; ..\source\text_en\DAILtags_gen.txt</v>
      </c>
      <c r="AB8" s="5" t="s">
        <v>39</v>
      </c>
    </row>
    <row r="9" spans="1:28" x14ac:dyDescent="0.25">
      <c r="A9" s="5" t="s">
        <v>42</v>
      </c>
      <c r="B9" s="5" t="s">
        <v>0</v>
      </c>
      <c r="C9" s="5" t="str">
        <f t="shared" si="1"/>
        <v>description,dailCompDescSoldier7,</v>
      </c>
      <c r="D9" s="5" t="str">
        <f t="shared" si="3"/>
        <v>itemText,dailCompTextSoldier7,</v>
      </c>
      <c r="E9" s="5" t="s">
        <v>26</v>
      </c>
      <c r="F9" s="5" t="str">
        <f t="shared" si="20"/>
        <v>augmentSkillName1,records/skills/playerclass01/counterstrike1.dbr,</v>
      </c>
      <c r="G9" s="7">
        <f t="shared" si="16"/>
        <v>7</v>
      </c>
      <c r="H9" s="8" t="str">
        <f t="shared" si="17"/>
        <v>Soldier</v>
      </c>
      <c r="I9" s="3" t="s">
        <v>14</v>
      </c>
      <c r="J9" s="8" t="str">
        <f t="shared" si="18"/>
        <v>class0001</v>
      </c>
      <c r="K9" s="8" t="str">
        <f t="shared" si="18"/>
        <v>dailoneskill0001</v>
      </c>
      <c r="L9" s="5" t="str">
        <f t="shared" si="4"/>
        <v>lootName7,DAIL/items/materia/class0001/Soldier7.dbr,</v>
      </c>
      <c r="M9" s="5" t="str">
        <f t="shared" si="5"/>
        <v>lootWeight7,1,</v>
      </c>
      <c r="O9" t="str">
        <f t="shared" si="19"/>
        <v>copy .\dail_base.dbr .\items\materia\class0001\Soldier7.dbr /y</v>
      </c>
      <c r="P9" t="str">
        <f t="shared" si="6"/>
        <v>echo relicBitmap,items/craftingparts/components/component_a52_bristlyfur_b.tex, &gt;&gt; .\items\materia\class0001\Soldier7.dbr</v>
      </c>
      <c r="Q9" t="str">
        <f t="shared" si="7"/>
        <v>echo itemCost,100000, &gt;&gt; .\items\materia\class0001\Soldier7.dbr</v>
      </c>
      <c r="R9" t="str">
        <f t="shared" si="8"/>
        <v>echo description,dailCompDescSoldier7, &gt;&gt; .\items\materia\class0001\Soldier7.dbr</v>
      </c>
      <c r="S9" t="str">
        <f t="shared" si="9"/>
        <v>echo itemText,dailCompTextSoldier7, &gt;&gt; .\items\materia\class0001\Soldier7.dbr</v>
      </c>
      <c r="T9" t="str">
        <f t="shared" si="10"/>
        <v>echo augmentSkillLevel1,1, &gt;&gt; .\items\materia\class0001\Soldier7.dbr</v>
      </c>
      <c r="U9" t="str">
        <f t="shared" si="11"/>
        <v>echo augmentSkillName1,records/skills/playerclass01/counterstrike1.dbr, &gt;&gt; .\items\materia\class0001\Soldier7.dbr</v>
      </c>
      <c r="V9" s="5" t="s">
        <v>39</v>
      </c>
      <c r="W9" t="str">
        <f t="shared" si="12"/>
        <v>echo lootName7,DAIL/items/materia/class0001/Soldier7.dbr, &gt;&gt; .\items\loottables\dailoneskill0001.dbr</v>
      </c>
      <c r="X9" t="str">
        <f t="shared" si="13"/>
        <v>echo lootWeight7,1, &gt;&gt; .\items\loottables\dailoneskill0001.dbr</v>
      </c>
      <c r="Y9" s="5" t="s">
        <v>39</v>
      </c>
      <c r="Z9" t="str">
        <f t="shared" si="14"/>
        <v xml:space="preserve"> echo dailCompDescSoldier7=Soldier's Gift of DAIL &gt;&gt; ..\source\text_en\DAILtags_gen.txt</v>
      </c>
      <c r="AA9" t="str">
        <f t="shared" si="15"/>
        <v>echo dailCompTextSoldier7=Soldier's Gift of DAIL &gt;&gt; ..\source\text_en\DAILtags_gen.txt</v>
      </c>
      <c r="AB9" s="5" t="s">
        <v>39</v>
      </c>
    </row>
    <row r="10" spans="1:28" x14ac:dyDescent="0.25">
      <c r="A10" s="5" t="s">
        <v>42</v>
      </c>
      <c r="B10" s="5" t="s">
        <v>0</v>
      </c>
      <c r="C10" s="5" t="str">
        <f t="shared" si="1"/>
        <v>description,dailCompDescSoldier8,</v>
      </c>
      <c r="D10" s="5" t="str">
        <f t="shared" si="3"/>
        <v>itemText,dailCompTextSoldier8,</v>
      </c>
      <c r="E10" s="5" t="s">
        <v>26</v>
      </c>
      <c r="F10" s="5" t="str">
        <f t="shared" si="20"/>
        <v>augmentSkillName1,records/skills/playerclass01/fieldcommand1.dbr,</v>
      </c>
      <c r="G10" s="7">
        <f t="shared" si="16"/>
        <v>8</v>
      </c>
      <c r="H10" s="8" t="str">
        <f t="shared" si="17"/>
        <v>Soldier</v>
      </c>
      <c r="I10" s="3" t="s">
        <v>15</v>
      </c>
      <c r="J10" s="8" t="str">
        <f t="shared" si="18"/>
        <v>class0001</v>
      </c>
      <c r="K10" s="8" t="str">
        <f t="shared" si="18"/>
        <v>dailoneskill0001</v>
      </c>
      <c r="L10" s="5" t="str">
        <f t="shared" si="4"/>
        <v>lootName8,DAIL/items/materia/class0001/Soldier8.dbr,</v>
      </c>
      <c r="M10" s="5" t="str">
        <f t="shared" si="5"/>
        <v>lootWeight8,1,</v>
      </c>
      <c r="O10" t="str">
        <f t="shared" si="19"/>
        <v>copy .\dail_base.dbr .\items\materia\class0001\Soldier8.dbr /y</v>
      </c>
      <c r="P10" t="str">
        <f t="shared" si="6"/>
        <v>echo relicBitmap,items/craftingparts/components/component_a52_bristlyfur_b.tex, &gt;&gt; .\items\materia\class0001\Soldier8.dbr</v>
      </c>
      <c r="Q10" t="str">
        <f t="shared" si="7"/>
        <v>echo itemCost,100000, &gt;&gt; .\items\materia\class0001\Soldier8.dbr</v>
      </c>
      <c r="R10" t="str">
        <f t="shared" si="8"/>
        <v>echo description,dailCompDescSoldier8, &gt;&gt; .\items\materia\class0001\Soldier8.dbr</v>
      </c>
      <c r="S10" t="str">
        <f t="shared" si="9"/>
        <v>echo itemText,dailCompTextSoldier8, &gt;&gt; .\items\materia\class0001\Soldier8.dbr</v>
      </c>
      <c r="T10" t="str">
        <f t="shared" si="10"/>
        <v>echo augmentSkillLevel1,1, &gt;&gt; .\items\materia\class0001\Soldier8.dbr</v>
      </c>
      <c r="U10" t="str">
        <f t="shared" si="11"/>
        <v>echo augmentSkillName1,records/skills/playerclass01/fieldcommand1.dbr, &gt;&gt; .\items\materia\class0001\Soldier8.dbr</v>
      </c>
      <c r="V10" s="5" t="s">
        <v>39</v>
      </c>
      <c r="W10" t="str">
        <f t="shared" si="12"/>
        <v>echo lootName8,DAIL/items/materia/class0001/Soldier8.dbr, &gt;&gt; .\items\loottables\dailoneskill0001.dbr</v>
      </c>
      <c r="X10" t="str">
        <f t="shared" si="13"/>
        <v>echo lootWeight8,1, &gt;&gt; .\items\loottables\dailoneskill0001.dbr</v>
      </c>
      <c r="Y10" s="5" t="s">
        <v>39</v>
      </c>
      <c r="Z10" t="str">
        <f t="shared" si="14"/>
        <v xml:space="preserve"> echo dailCompDescSoldier8=Soldier's Gift of DAIL &gt;&gt; ..\source\text_en\DAILtags_gen.txt</v>
      </c>
      <c r="AA10" t="str">
        <f t="shared" si="15"/>
        <v>echo dailCompTextSoldier8=Soldier's Gift of DAIL &gt;&gt; ..\source\text_en\DAILtags_gen.txt</v>
      </c>
      <c r="AB10" s="5" t="s">
        <v>39</v>
      </c>
    </row>
    <row r="11" spans="1:28" x14ac:dyDescent="0.25">
      <c r="A11" s="5" t="s">
        <v>42</v>
      </c>
      <c r="B11" s="5" t="s">
        <v>0</v>
      </c>
      <c r="C11" s="5" t="str">
        <f t="shared" si="1"/>
        <v>description,dailCompDescSoldier9,</v>
      </c>
      <c r="D11" s="5" t="str">
        <f t="shared" si="3"/>
        <v>itemText,dailCompTextSoldier9,</v>
      </c>
      <c r="E11" s="5" t="s">
        <v>26</v>
      </c>
      <c r="F11" s="5" t="str">
        <f t="shared" si="20"/>
        <v>augmentSkillName1,records/skills/playerclass01/fightingspirit1.dbr,</v>
      </c>
      <c r="G11" s="7">
        <f t="shared" si="16"/>
        <v>9</v>
      </c>
      <c r="H11" s="8" t="str">
        <f t="shared" si="17"/>
        <v>Soldier</v>
      </c>
      <c r="I11" s="3" t="s">
        <v>16</v>
      </c>
      <c r="J11" s="8" t="str">
        <f t="shared" si="18"/>
        <v>class0001</v>
      </c>
      <c r="K11" s="8" t="str">
        <f t="shared" si="18"/>
        <v>dailoneskill0001</v>
      </c>
      <c r="L11" s="5" t="str">
        <f t="shared" si="4"/>
        <v>lootName9,DAIL/items/materia/class0001/Soldier9.dbr,</v>
      </c>
      <c r="M11" s="5" t="str">
        <f t="shared" si="5"/>
        <v>lootWeight9,1,</v>
      </c>
      <c r="O11" t="str">
        <f t="shared" si="19"/>
        <v>copy .\dail_base.dbr .\items\materia\class0001\Soldier9.dbr /y</v>
      </c>
      <c r="P11" t="str">
        <f t="shared" si="6"/>
        <v>echo relicBitmap,items/craftingparts/components/component_a52_bristlyfur_b.tex, &gt;&gt; .\items\materia\class0001\Soldier9.dbr</v>
      </c>
      <c r="Q11" t="str">
        <f t="shared" si="7"/>
        <v>echo itemCost,100000, &gt;&gt; .\items\materia\class0001\Soldier9.dbr</v>
      </c>
      <c r="R11" t="str">
        <f t="shared" si="8"/>
        <v>echo description,dailCompDescSoldier9, &gt;&gt; .\items\materia\class0001\Soldier9.dbr</v>
      </c>
      <c r="S11" t="str">
        <f t="shared" si="9"/>
        <v>echo itemText,dailCompTextSoldier9, &gt;&gt; .\items\materia\class0001\Soldier9.dbr</v>
      </c>
      <c r="T11" t="str">
        <f t="shared" si="10"/>
        <v>echo augmentSkillLevel1,1, &gt;&gt; .\items\materia\class0001\Soldier9.dbr</v>
      </c>
      <c r="U11" t="str">
        <f t="shared" si="11"/>
        <v>echo augmentSkillName1,records/skills/playerclass01/fightingspirit1.dbr, &gt;&gt; .\items\materia\class0001\Soldier9.dbr</v>
      </c>
      <c r="V11" s="5" t="s">
        <v>39</v>
      </c>
      <c r="W11" t="str">
        <f t="shared" si="12"/>
        <v>echo lootName9,DAIL/items/materia/class0001/Soldier9.dbr, &gt;&gt; .\items\loottables\dailoneskill0001.dbr</v>
      </c>
      <c r="X11" t="str">
        <f t="shared" si="13"/>
        <v>echo lootWeight9,1, &gt;&gt; .\items\loottables\dailoneskill0001.dbr</v>
      </c>
      <c r="Y11" s="5" t="s">
        <v>39</v>
      </c>
      <c r="Z11" t="str">
        <f t="shared" si="14"/>
        <v xml:space="preserve"> echo dailCompDescSoldier9=Soldier's Gift of DAIL &gt;&gt; ..\source\text_en\DAILtags_gen.txt</v>
      </c>
      <c r="AA11" t="str">
        <f t="shared" si="15"/>
        <v>echo dailCompTextSoldier9=Soldier's Gift of DAIL &gt;&gt; ..\source\text_en\DAILtags_gen.txt</v>
      </c>
      <c r="AB11" s="5" t="s">
        <v>39</v>
      </c>
    </row>
    <row r="12" spans="1:28" x14ac:dyDescent="0.25">
      <c r="A12" s="5" t="s">
        <v>42</v>
      </c>
      <c r="B12" s="5" t="s">
        <v>0</v>
      </c>
      <c r="C12" s="5" t="str">
        <f t="shared" si="1"/>
        <v>description,dailCompDescSoldier10,</v>
      </c>
      <c r="D12" s="5" t="str">
        <f t="shared" si="3"/>
        <v>itemText,dailCompTextSoldier10,</v>
      </c>
      <c r="E12" s="5" t="s">
        <v>26</v>
      </c>
      <c r="F12" s="5" t="str">
        <f t="shared" si="20"/>
        <v>augmentSkillName1,records/skills/playerclass01/overguard1.dbr,</v>
      </c>
      <c r="G12" s="7">
        <f t="shared" si="16"/>
        <v>10</v>
      </c>
      <c r="H12" s="8" t="str">
        <f t="shared" si="17"/>
        <v>Soldier</v>
      </c>
      <c r="I12" s="3" t="s">
        <v>17</v>
      </c>
      <c r="J12" s="8" t="str">
        <f t="shared" si="18"/>
        <v>class0001</v>
      </c>
      <c r="K12" s="8" t="str">
        <f t="shared" si="18"/>
        <v>dailoneskill0001</v>
      </c>
      <c r="L12" s="5" t="str">
        <f t="shared" si="4"/>
        <v>lootName10,DAIL/items/materia/class0001/Soldier10.dbr,</v>
      </c>
      <c r="M12" s="5" t="str">
        <f t="shared" si="5"/>
        <v>lootWeight10,1,</v>
      </c>
      <c r="O12" t="str">
        <f t="shared" si="19"/>
        <v>copy .\dail_base.dbr .\items\materia\class0001\Soldier10.dbr /y</v>
      </c>
      <c r="P12" t="str">
        <f t="shared" si="6"/>
        <v>echo relicBitmap,items/craftingparts/components/component_a52_bristlyfur_b.tex, &gt;&gt; .\items\materia\class0001\Soldier10.dbr</v>
      </c>
      <c r="Q12" t="str">
        <f t="shared" si="7"/>
        <v>echo itemCost,100000, &gt;&gt; .\items\materia\class0001\Soldier10.dbr</v>
      </c>
      <c r="R12" t="str">
        <f t="shared" si="8"/>
        <v>echo description,dailCompDescSoldier10, &gt;&gt; .\items\materia\class0001\Soldier10.dbr</v>
      </c>
      <c r="S12" t="str">
        <f t="shared" si="9"/>
        <v>echo itemText,dailCompTextSoldier10, &gt;&gt; .\items\materia\class0001\Soldier10.dbr</v>
      </c>
      <c r="T12" t="str">
        <f t="shared" si="10"/>
        <v>echo augmentSkillLevel1,1, &gt;&gt; .\items\materia\class0001\Soldier10.dbr</v>
      </c>
      <c r="U12" t="str">
        <f t="shared" si="11"/>
        <v>echo augmentSkillName1,records/skills/playerclass01/overguard1.dbr, &gt;&gt; .\items\materia\class0001\Soldier10.dbr</v>
      </c>
      <c r="V12" s="5" t="s">
        <v>39</v>
      </c>
      <c r="W12" t="str">
        <f t="shared" si="12"/>
        <v>echo lootName10,DAIL/items/materia/class0001/Soldier10.dbr, &gt;&gt; .\items\loottables\dailoneskill0001.dbr</v>
      </c>
      <c r="X12" t="str">
        <f t="shared" si="13"/>
        <v>echo lootWeight10,1, &gt;&gt; .\items\loottables\dailoneskill0001.dbr</v>
      </c>
      <c r="Y12" s="5" t="s">
        <v>39</v>
      </c>
      <c r="Z12" t="str">
        <f t="shared" si="14"/>
        <v xml:space="preserve"> echo dailCompDescSoldier10=Soldier's Gift of DAIL &gt;&gt; ..\source\text_en\DAILtags_gen.txt</v>
      </c>
      <c r="AA12" t="str">
        <f t="shared" si="15"/>
        <v>echo dailCompTextSoldier10=Soldier's Gift of DAIL &gt;&gt; ..\source\text_en\DAILtags_gen.txt</v>
      </c>
      <c r="AB12" s="5" t="s">
        <v>39</v>
      </c>
    </row>
    <row r="13" spans="1:28" x14ac:dyDescent="0.25">
      <c r="A13" s="5" t="s">
        <v>42</v>
      </c>
      <c r="B13" s="5" t="s">
        <v>0</v>
      </c>
      <c r="C13" s="5" t="str">
        <f t="shared" si="1"/>
        <v>description,dailCompDescSoldier11,</v>
      </c>
      <c r="D13" s="5" t="str">
        <f t="shared" si="3"/>
        <v>itemText,dailCompTextSoldier11,</v>
      </c>
      <c r="E13" s="5" t="s">
        <v>26</v>
      </c>
      <c r="F13" s="5" t="str">
        <f t="shared" si="20"/>
        <v>augmentSkillName1,records/skills/playerclass01/passive1.dbr,</v>
      </c>
      <c r="G13" s="7">
        <f t="shared" si="16"/>
        <v>11</v>
      </c>
      <c r="H13" s="8" t="str">
        <f t="shared" si="17"/>
        <v>Soldier</v>
      </c>
      <c r="I13" s="3" t="s">
        <v>18</v>
      </c>
      <c r="J13" s="8" t="str">
        <f t="shared" si="18"/>
        <v>class0001</v>
      </c>
      <c r="K13" s="8" t="str">
        <f t="shared" si="18"/>
        <v>dailoneskill0001</v>
      </c>
      <c r="L13" s="5" t="str">
        <f t="shared" si="4"/>
        <v>lootName11,DAIL/items/materia/class0001/Soldier11.dbr,</v>
      </c>
      <c r="M13" s="5" t="str">
        <f t="shared" si="5"/>
        <v>lootWeight11,1,</v>
      </c>
      <c r="O13" t="str">
        <f t="shared" si="19"/>
        <v>copy .\dail_base.dbr .\items\materia\class0001\Soldier11.dbr /y</v>
      </c>
      <c r="P13" t="str">
        <f t="shared" si="6"/>
        <v>echo relicBitmap,items/craftingparts/components/component_a52_bristlyfur_b.tex, &gt;&gt; .\items\materia\class0001\Soldier11.dbr</v>
      </c>
      <c r="Q13" t="str">
        <f t="shared" si="7"/>
        <v>echo itemCost,100000, &gt;&gt; .\items\materia\class0001\Soldier11.dbr</v>
      </c>
      <c r="R13" t="str">
        <f t="shared" si="8"/>
        <v>echo description,dailCompDescSoldier11, &gt;&gt; .\items\materia\class0001\Soldier11.dbr</v>
      </c>
      <c r="S13" t="str">
        <f t="shared" si="9"/>
        <v>echo itemText,dailCompTextSoldier11, &gt;&gt; .\items\materia\class0001\Soldier11.dbr</v>
      </c>
      <c r="T13" t="str">
        <f t="shared" si="10"/>
        <v>echo augmentSkillLevel1,1, &gt;&gt; .\items\materia\class0001\Soldier11.dbr</v>
      </c>
      <c r="U13" t="str">
        <f t="shared" si="11"/>
        <v>echo augmentSkillName1,records/skills/playerclass01/passive1.dbr, &gt;&gt; .\items\materia\class0001\Soldier11.dbr</v>
      </c>
      <c r="V13" s="5" t="s">
        <v>39</v>
      </c>
      <c r="W13" t="str">
        <f t="shared" si="12"/>
        <v>echo lootName11,DAIL/items/materia/class0001/Soldier11.dbr, &gt;&gt; .\items\loottables\dailoneskill0001.dbr</v>
      </c>
      <c r="X13" t="str">
        <f t="shared" si="13"/>
        <v>echo lootWeight11,1, &gt;&gt; .\items\loottables\dailoneskill0001.dbr</v>
      </c>
      <c r="Y13" s="5" t="s">
        <v>39</v>
      </c>
      <c r="Z13" t="str">
        <f t="shared" si="14"/>
        <v xml:space="preserve"> echo dailCompDescSoldier11=Soldier's Gift of DAIL &gt;&gt; ..\source\text_en\DAILtags_gen.txt</v>
      </c>
      <c r="AA13" t="str">
        <f t="shared" si="15"/>
        <v>echo dailCompTextSoldier11=Soldier's Gift of DAIL &gt;&gt; ..\source\text_en\DAILtags_gen.txt</v>
      </c>
      <c r="AB13" s="5" t="s">
        <v>39</v>
      </c>
    </row>
    <row r="14" spans="1:28" x14ac:dyDescent="0.25">
      <c r="A14" s="5" t="s">
        <v>42</v>
      </c>
      <c r="B14" s="5" t="s">
        <v>0</v>
      </c>
      <c r="C14" s="5" t="str">
        <f t="shared" si="1"/>
        <v>description,dailCompDescSoldier12,</v>
      </c>
      <c r="D14" s="5" t="str">
        <f t="shared" si="3"/>
        <v>itemText,dailCompTextSoldier12,</v>
      </c>
      <c r="E14" s="5" t="s">
        <v>26</v>
      </c>
      <c r="F14" s="5" t="str">
        <f t="shared" si="20"/>
        <v>augmentSkillName1,records/skills/playerclass01/passiveshield.dbr,</v>
      </c>
      <c r="G14" s="7">
        <f t="shared" si="16"/>
        <v>12</v>
      </c>
      <c r="H14" s="8" t="str">
        <f t="shared" si="17"/>
        <v>Soldier</v>
      </c>
      <c r="I14" s="3" t="s">
        <v>19</v>
      </c>
      <c r="J14" s="8" t="str">
        <f t="shared" si="18"/>
        <v>class0001</v>
      </c>
      <c r="K14" s="8" t="str">
        <f t="shared" si="18"/>
        <v>dailoneskill0001</v>
      </c>
      <c r="L14" s="5" t="str">
        <f t="shared" si="4"/>
        <v>lootName12,DAIL/items/materia/class0001/Soldier12.dbr,</v>
      </c>
      <c r="M14" s="5" t="str">
        <f t="shared" si="5"/>
        <v>lootWeight12,1,</v>
      </c>
      <c r="O14" t="str">
        <f t="shared" si="19"/>
        <v>copy .\dail_base.dbr .\items\materia\class0001\Soldier12.dbr /y</v>
      </c>
      <c r="P14" t="str">
        <f t="shared" si="6"/>
        <v>echo relicBitmap,items/craftingparts/components/component_a52_bristlyfur_b.tex, &gt;&gt; .\items\materia\class0001\Soldier12.dbr</v>
      </c>
      <c r="Q14" t="str">
        <f t="shared" si="7"/>
        <v>echo itemCost,100000, &gt;&gt; .\items\materia\class0001\Soldier12.dbr</v>
      </c>
      <c r="R14" t="str">
        <f t="shared" si="8"/>
        <v>echo description,dailCompDescSoldier12, &gt;&gt; .\items\materia\class0001\Soldier12.dbr</v>
      </c>
      <c r="S14" t="str">
        <f t="shared" si="9"/>
        <v>echo itemText,dailCompTextSoldier12, &gt;&gt; .\items\materia\class0001\Soldier12.dbr</v>
      </c>
      <c r="T14" t="str">
        <f t="shared" si="10"/>
        <v>echo augmentSkillLevel1,1, &gt;&gt; .\items\materia\class0001\Soldier12.dbr</v>
      </c>
      <c r="U14" t="str">
        <f t="shared" si="11"/>
        <v>echo augmentSkillName1,records/skills/playerclass01/passiveshield.dbr, &gt;&gt; .\items\materia\class0001\Soldier12.dbr</v>
      </c>
      <c r="V14" s="5" t="s">
        <v>39</v>
      </c>
      <c r="W14" t="str">
        <f t="shared" si="12"/>
        <v>echo lootName12,DAIL/items/materia/class0001/Soldier12.dbr, &gt;&gt; .\items\loottables\dailoneskill0001.dbr</v>
      </c>
      <c r="X14" t="str">
        <f t="shared" si="13"/>
        <v>echo lootWeight12,1, &gt;&gt; .\items\loottables\dailoneskill0001.dbr</v>
      </c>
      <c r="Y14" s="5" t="s">
        <v>39</v>
      </c>
      <c r="Z14" t="str">
        <f t="shared" si="14"/>
        <v xml:space="preserve"> echo dailCompDescSoldier12=Soldier's Gift of DAIL &gt;&gt; ..\source\text_en\DAILtags_gen.txt</v>
      </c>
      <c r="AA14" t="str">
        <f t="shared" si="15"/>
        <v>echo dailCompTextSoldier12=Soldier's Gift of DAIL &gt;&gt; ..\source\text_en\DAILtags_gen.txt</v>
      </c>
      <c r="AB14" s="5" t="s">
        <v>39</v>
      </c>
    </row>
    <row r="15" spans="1:28" x14ac:dyDescent="0.25">
      <c r="A15" s="5" t="s">
        <v>42</v>
      </c>
      <c r="B15" s="5" t="s">
        <v>0</v>
      </c>
      <c r="C15" s="5" t="str">
        <f t="shared" si="1"/>
        <v>description,dailCompDescSoldier13,</v>
      </c>
      <c r="D15" s="5" t="str">
        <f t="shared" si="3"/>
        <v>itemText,dailCompTextSoldier13,</v>
      </c>
      <c r="E15" s="5" t="s">
        <v>26</v>
      </c>
      <c r="F15" s="5" t="str">
        <f t="shared" si="20"/>
        <v>augmentSkillName1,records/skills/playerclass01/shieldhammer1.dbr,</v>
      </c>
      <c r="G15" s="7">
        <f t="shared" si="16"/>
        <v>13</v>
      </c>
      <c r="H15" s="8" t="str">
        <f t="shared" si="17"/>
        <v>Soldier</v>
      </c>
      <c r="I15" s="3" t="s">
        <v>20</v>
      </c>
      <c r="J15" s="8" t="str">
        <f t="shared" si="18"/>
        <v>class0001</v>
      </c>
      <c r="K15" s="8" t="str">
        <f t="shared" si="18"/>
        <v>dailoneskill0001</v>
      </c>
      <c r="L15" s="5" t="str">
        <f t="shared" si="4"/>
        <v>lootName13,DAIL/items/materia/class0001/Soldier13.dbr,</v>
      </c>
      <c r="M15" s="5" t="str">
        <f t="shared" si="5"/>
        <v>lootWeight13,1,</v>
      </c>
      <c r="O15" t="str">
        <f t="shared" si="19"/>
        <v>copy .\dail_base.dbr .\items\materia\class0001\Soldier13.dbr /y</v>
      </c>
      <c r="P15" t="str">
        <f t="shared" si="6"/>
        <v>echo relicBitmap,items/craftingparts/components/component_a52_bristlyfur_b.tex, &gt;&gt; .\items\materia\class0001\Soldier13.dbr</v>
      </c>
      <c r="Q15" t="str">
        <f t="shared" si="7"/>
        <v>echo itemCost,100000, &gt;&gt; .\items\materia\class0001\Soldier13.dbr</v>
      </c>
      <c r="R15" t="str">
        <f t="shared" si="8"/>
        <v>echo description,dailCompDescSoldier13, &gt;&gt; .\items\materia\class0001\Soldier13.dbr</v>
      </c>
      <c r="S15" t="str">
        <f t="shared" si="9"/>
        <v>echo itemText,dailCompTextSoldier13, &gt;&gt; .\items\materia\class0001\Soldier13.dbr</v>
      </c>
      <c r="T15" t="str">
        <f t="shared" si="10"/>
        <v>echo augmentSkillLevel1,1, &gt;&gt; .\items\materia\class0001\Soldier13.dbr</v>
      </c>
      <c r="U15" t="str">
        <f t="shared" si="11"/>
        <v>echo augmentSkillName1,records/skills/playerclass01/shieldhammer1.dbr, &gt;&gt; .\items\materia\class0001\Soldier13.dbr</v>
      </c>
      <c r="V15" s="5" t="s">
        <v>39</v>
      </c>
      <c r="W15" t="str">
        <f t="shared" si="12"/>
        <v>echo lootName13,DAIL/items/materia/class0001/Soldier13.dbr, &gt;&gt; .\items\loottables\dailoneskill0001.dbr</v>
      </c>
      <c r="X15" t="str">
        <f t="shared" si="13"/>
        <v>echo lootWeight13,1, &gt;&gt; .\items\loottables\dailoneskill0001.dbr</v>
      </c>
      <c r="Y15" s="5" t="s">
        <v>39</v>
      </c>
      <c r="Z15" t="str">
        <f t="shared" si="14"/>
        <v xml:space="preserve"> echo dailCompDescSoldier13=Soldier's Gift of DAIL &gt;&gt; ..\source\text_en\DAILtags_gen.txt</v>
      </c>
      <c r="AA15" t="str">
        <f t="shared" si="15"/>
        <v>echo dailCompTextSoldier13=Soldier's Gift of DAIL &gt;&gt; ..\source\text_en\DAILtags_gen.txt</v>
      </c>
      <c r="AB15" s="5" t="s">
        <v>39</v>
      </c>
    </row>
    <row r="16" spans="1:28" x14ac:dyDescent="0.25">
      <c r="A16" s="5" t="s">
        <v>42</v>
      </c>
      <c r="B16" s="5" t="s">
        <v>0</v>
      </c>
      <c r="C16" s="5" t="str">
        <f t="shared" si="1"/>
        <v>description,dailCompDescSoldier14,</v>
      </c>
      <c r="D16" s="5" t="str">
        <f t="shared" si="3"/>
        <v>itemText,dailCompTextSoldier14,</v>
      </c>
      <c r="E16" s="5" t="s">
        <v>26</v>
      </c>
      <c r="F16" s="5" t="str">
        <f t="shared" si="20"/>
        <v>augmentSkillName1,records/skills/playerclass01/stancedefensive.dbr,</v>
      </c>
      <c r="G16" s="7">
        <f t="shared" si="16"/>
        <v>14</v>
      </c>
      <c r="H16" s="8" t="str">
        <f t="shared" si="17"/>
        <v>Soldier</v>
      </c>
      <c r="I16" s="3" t="s">
        <v>21</v>
      </c>
      <c r="J16" s="8" t="str">
        <f t="shared" si="18"/>
        <v>class0001</v>
      </c>
      <c r="K16" s="8" t="str">
        <f t="shared" si="18"/>
        <v>dailoneskill0001</v>
      </c>
      <c r="L16" s="5" t="str">
        <f t="shared" si="4"/>
        <v>lootName14,DAIL/items/materia/class0001/Soldier14.dbr,</v>
      </c>
      <c r="M16" s="5" t="str">
        <f t="shared" si="5"/>
        <v>lootWeight14,1,</v>
      </c>
      <c r="O16" t="str">
        <f t="shared" si="19"/>
        <v>copy .\dail_base.dbr .\items\materia\class0001\Soldier14.dbr /y</v>
      </c>
      <c r="P16" t="str">
        <f t="shared" si="6"/>
        <v>echo relicBitmap,items/craftingparts/components/component_a52_bristlyfur_b.tex, &gt;&gt; .\items\materia\class0001\Soldier14.dbr</v>
      </c>
      <c r="Q16" t="str">
        <f t="shared" si="7"/>
        <v>echo itemCost,100000, &gt;&gt; .\items\materia\class0001\Soldier14.dbr</v>
      </c>
      <c r="R16" t="str">
        <f t="shared" si="8"/>
        <v>echo description,dailCompDescSoldier14, &gt;&gt; .\items\materia\class0001\Soldier14.dbr</v>
      </c>
      <c r="S16" t="str">
        <f t="shared" si="9"/>
        <v>echo itemText,dailCompTextSoldier14, &gt;&gt; .\items\materia\class0001\Soldier14.dbr</v>
      </c>
      <c r="T16" t="str">
        <f t="shared" si="10"/>
        <v>echo augmentSkillLevel1,1, &gt;&gt; .\items\materia\class0001\Soldier14.dbr</v>
      </c>
      <c r="U16" t="str">
        <f t="shared" si="11"/>
        <v>echo augmentSkillName1,records/skills/playerclass01/stancedefensive.dbr, &gt;&gt; .\items\materia\class0001\Soldier14.dbr</v>
      </c>
      <c r="V16" s="5" t="s">
        <v>39</v>
      </c>
      <c r="W16" t="str">
        <f t="shared" si="12"/>
        <v>echo lootName14,DAIL/items/materia/class0001/Soldier14.dbr, &gt;&gt; .\items\loottables\dailoneskill0001.dbr</v>
      </c>
      <c r="X16" t="str">
        <f t="shared" si="13"/>
        <v>echo lootWeight14,1, &gt;&gt; .\items\loottables\dailoneskill0001.dbr</v>
      </c>
      <c r="Y16" s="5" t="s">
        <v>39</v>
      </c>
      <c r="Z16" t="str">
        <f t="shared" si="14"/>
        <v xml:space="preserve"> echo dailCompDescSoldier14=Soldier's Gift of DAIL &gt;&gt; ..\source\text_en\DAILtags_gen.txt</v>
      </c>
      <c r="AA16" t="str">
        <f t="shared" si="15"/>
        <v>echo dailCompTextSoldier14=Soldier's Gift of DAIL &gt;&gt; ..\source\text_en\DAILtags_gen.txt</v>
      </c>
      <c r="AB16" s="5" t="s">
        <v>39</v>
      </c>
    </row>
    <row r="17" spans="1:28" x14ac:dyDescent="0.25">
      <c r="A17" s="5" t="s">
        <v>42</v>
      </c>
      <c r="B17" s="5" t="s">
        <v>0</v>
      </c>
      <c r="C17" s="5" t="str">
        <f t="shared" si="1"/>
        <v>description,dailCompDescSoldier15,</v>
      </c>
      <c r="D17" s="5" t="str">
        <f t="shared" si="3"/>
        <v>itemText,dailCompTextSoldier15,</v>
      </c>
      <c r="E17" s="5" t="s">
        <v>26</v>
      </c>
      <c r="F17" s="5" t="str">
        <f t="shared" si="20"/>
        <v>augmentSkillName1,records/skills/playerclass01/stanceoffensive.dbr,</v>
      </c>
      <c r="G17" s="7">
        <f t="shared" si="16"/>
        <v>15</v>
      </c>
      <c r="H17" s="8" t="str">
        <f t="shared" si="17"/>
        <v>Soldier</v>
      </c>
      <c r="I17" s="3" t="s">
        <v>22</v>
      </c>
      <c r="J17" s="8" t="str">
        <f t="shared" si="18"/>
        <v>class0001</v>
      </c>
      <c r="K17" s="8" t="str">
        <f t="shared" si="18"/>
        <v>dailoneskill0001</v>
      </c>
      <c r="L17" s="5" t="str">
        <f t="shared" si="4"/>
        <v>lootName15,DAIL/items/materia/class0001/Soldier15.dbr,</v>
      </c>
      <c r="M17" s="5" t="str">
        <f t="shared" si="5"/>
        <v>lootWeight15,1,</v>
      </c>
      <c r="O17" t="str">
        <f t="shared" si="19"/>
        <v>copy .\dail_base.dbr .\items\materia\class0001\Soldier15.dbr /y</v>
      </c>
      <c r="P17" t="str">
        <f t="shared" si="6"/>
        <v>echo relicBitmap,items/craftingparts/components/component_a52_bristlyfur_b.tex, &gt;&gt; .\items\materia\class0001\Soldier15.dbr</v>
      </c>
      <c r="Q17" t="str">
        <f t="shared" si="7"/>
        <v>echo itemCost,100000, &gt;&gt; .\items\materia\class0001\Soldier15.dbr</v>
      </c>
      <c r="R17" t="str">
        <f t="shared" si="8"/>
        <v>echo description,dailCompDescSoldier15, &gt;&gt; .\items\materia\class0001\Soldier15.dbr</v>
      </c>
      <c r="S17" t="str">
        <f t="shared" si="9"/>
        <v>echo itemText,dailCompTextSoldier15, &gt;&gt; .\items\materia\class0001\Soldier15.dbr</v>
      </c>
      <c r="T17" t="str">
        <f t="shared" si="10"/>
        <v>echo augmentSkillLevel1,1, &gt;&gt; .\items\materia\class0001\Soldier15.dbr</v>
      </c>
      <c r="U17" t="str">
        <f t="shared" si="11"/>
        <v>echo augmentSkillName1,records/skills/playerclass01/stanceoffensive.dbr, &gt;&gt; .\items\materia\class0001\Soldier15.dbr</v>
      </c>
      <c r="V17" s="5" t="s">
        <v>39</v>
      </c>
      <c r="W17" t="str">
        <f t="shared" si="12"/>
        <v>echo lootName15,DAIL/items/materia/class0001/Soldier15.dbr, &gt;&gt; .\items\loottables\dailoneskill0001.dbr</v>
      </c>
      <c r="X17" t="str">
        <f t="shared" si="13"/>
        <v>echo lootWeight15,1, &gt;&gt; .\items\loottables\dailoneskill0001.dbr</v>
      </c>
      <c r="Y17" s="5" t="s">
        <v>39</v>
      </c>
      <c r="Z17" t="str">
        <f t="shared" si="14"/>
        <v xml:space="preserve"> echo dailCompDescSoldier15=Soldier's Gift of DAIL &gt;&gt; ..\source\text_en\DAILtags_gen.txt</v>
      </c>
      <c r="AA17" t="str">
        <f t="shared" si="15"/>
        <v>echo dailCompTextSoldier15=Soldier's Gift of DAIL &gt;&gt; ..\source\text_en\DAILtags_gen.txt</v>
      </c>
      <c r="AB17" s="5" t="s">
        <v>39</v>
      </c>
    </row>
    <row r="18" spans="1:28" x14ac:dyDescent="0.25">
      <c r="A18" s="5" t="s">
        <v>42</v>
      </c>
      <c r="B18" s="5" t="s">
        <v>0</v>
      </c>
      <c r="C18" s="5" t="str">
        <f t="shared" si="1"/>
        <v>description,dailCompDescSoldier16,</v>
      </c>
      <c r="D18" s="5" t="str">
        <f t="shared" si="3"/>
        <v>itemText,dailCompTextSoldier16,</v>
      </c>
      <c r="E18" s="5" t="s">
        <v>26</v>
      </c>
      <c r="F18" s="5" t="str">
        <f t="shared" si="20"/>
        <v>augmentSkillName1,records/skills/playerclass01/warcry1.dbr,</v>
      </c>
      <c r="G18" s="7">
        <f t="shared" si="16"/>
        <v>16</v>
      </c>
      <c r="H18" s="8" t="str">
        <f t="shared" si="17"/>
        <v>Soldier</v>
      </c>
      <c r="I18" s="3" t="s">
        <v>23</v>
      </c>
      <c r="J18" s="8" t="str">
        <f t="shared" si="18"/>
        <v>class0001</v>
      </c>
      <c r="K18" s="8" t="str">
        <f t="shared" si="18"/>
        <v>dailoneskill0001</v>
      </c>
      <c r="L18" s="5" t="str">
        <f t="shared" si="4"/>
        <v>lootName16,DAIL/items/materia/class0001/Soldier16.dbr,</v>
      </c>
      <c r="M18" s="5" t="str">
        <f t="shared" si="5"/>
        <v>lootWeight16,1,</v>
      </c>
      <c r="O18" t="str">
        <f t="shared" si="19"/>
        <v>copy .\dail_base.dbr .\items\materia\class0001\Soldier16.dbr /y</v>
      </c>
      <c r="P18" t="str">
        <f t="shared" si="6"/>
        <v>echo relicBitmap,items/craftingparts/components/component_a52_bristlyfur_b.tex, &gt;&gt; .\items\materia\class0001\Soldier16.dbr</v>
      </c>
      <c r="Q18" t="str">
        <f t="shared" si="7"/>
        <v>echo itemCost,100000, &gt;&gt; .\items\materia\class0001\Soldier16.dbr</v>
      </c>
      <c r="R18" t="str">
        <f t="shared" si="8"/>
        <v>echo description,dailCompDescSoldier16, &gt;&gt; .\items\materia\class0001\Soldier16.dbr</v>
      </c>
      <c r="S18" t="str">
        <f t="shared" si="9"/>
        <v>echo itemText,dailCompTextSoldier16, &gt;&gt; .\items\materia\class0001\Soldier16.dbr</v>
      </c>
      <c r="T18" t="str">
        <f t="shared" si="10"/>
        <v>echo augmentSkillLevel1,1, &gt;&gt; .\items\materia\class0001\Soldier16.dbr</v>
      </c>
      <c r="U18" t="str">
        <f t="shared" si="11"/>
        <v>echo augmentSkillName1,records/skills/playerclass01/warcry1.dbr, &gt;&gt; .\items\materia\class0001\Soldier16.dbr</v>
      </c>
      <c r="V18" s="5" t="s">
        <v>39</v>
      </c>
      <c r="W18" t="str">
        <f t="shared" si="12"/>
        <v>echo lootName16,DAIL/items/materia/class0001/Soldier16.dbr, &gt;&gt; .\items\loottables\dailoneskill0001.dbr</v>
      </c>
      <c r="X18" t="str">
        <f t="shared" si="13"/>
        <v>echo lootWeight16,1, &gt;&gt; .\items\loottables\dailoneskill0001.dbr</v>
      </c>
      <c r="Y18" s="5" t="s">
        <v>39</v>
      </c>
      <c r="Z18" t="str">
        <f t="shared" si="14"/>
        <v xml:space="preserve"> echo dailCompDescSoldier16=Soldier's Gift of DAIL &gt;&gt; ..\source\text_en\DAILtags_gen.txt</v>
      </c>
      <c r="AA18" t="str">
        <f t="shared" si="15"/>
        <v>echo dailCompTextSoldier16=Soldier's Gift of DAIL &gt;&gt; ..\source\text_en\DAILtags_gen.txt</v>
      </c>
      <c r="AB18" s="5" t="s">
        <v>39</v>
      </c>
    </row>
    <row r="19" spans="1:28" x14ac:dyDescent="0.25">
      <c r="A19" s="5" t="s">
        <v>42</v>
      </c>
      <c r="B19" s="5" t="s">
        <v>29</v>
      </c>
      <c r="C19" s="5" t="str">
        <f t="shared" si="1"/>
        <v>description,dailCompDescSoldier17,</v>
      </c>
      <c r="D19" s="5" t="str">
        <f t="shared" ref="D19" si="21">"itemText,dailCompText"&amp;H19&amp;G19&amp;","</f>
        <v>itemText,dailCompTextSoldier17,</v>
      </c>
      <c r="E19" s="5" t="s">
        <v>31</v>
      </c>
      <c r="F19" s="5" t="str">
        <f t="shared" ref="F19" si="22">"augmentSkillName1,records/skills"&amp;I19&amp;","</f>
        <v>augmentSkillName1,records/skills/playerclass01/bladearc1.dbr,</v>
      </c>
      <c r="G19" s="7">
        <f t="shared" si="16"/>
        <v>17</v>
      </c>
      <c r="H19" s="8" t="str">
        <f t="shared" si="17"/>
        <v>Soldier</v>
      </c>
      <c r="I19" s="3" t="s">
        <v>11</v>
      </c>
      <c r="J19" s="8" t="str">
        <f t="shared" si="18"/>
        <v>class0001</v>
      </c>
      <c r="K19" s="8" t="str">
        <f t="shared" si="18"/>
        <v>dailoneskill0001</v>
      </c>
      <c r="L19" s="5" t="str">
        <f t="shared" si="4"/>
        <v>lootName17,DAIL/items/materia/class0001/Soldier17.dbr,</v>
      </c>
      <c r="M19" s="5" t="str">
        <f t="shared" si="5"/>
        <v>lootWeight17,1,</v>
      </c>
      <c r="O19" t="str">
        <f t="shared" si="19"/>
        <v>copy .\dail_base.dbr .\items\materia\class0001\Soldier17.dbr /y</v>
      </c>
      <c r="P19" t="str">
        <f t="shared" si="6"/>
        <v>echo relicBitmap,items/craftingparts/components/component_a52_bristlyfur_b.tex, &gt;&gt; .\items\materia\class0001\Soldier17.dbr</v>
      </c>
      <c r="Q19" t="str">
        <f t="shared" si="7"/>
        <v>echo itemCost,300000, &gt;&gt; .\items\materia\class0001\Soldier17.dbr</v>
      </c>
      <c r="R19" t="str">
        <f t="shared" si="8"/>
        <v>echo description,dailCompDescSoldier17, &gt;&gt; .\items\materia\class0001\Soldier17.dbr</v>
      </c>
      <c r="S19" t="str">
        <f t="shared" si="9"/>
        <v>echo itemText,dailCompTextSoldier17, &gt;&gt; .\items\materia\class0001\Soldier17.dbr</v>
      </c>
      <c r="T19" t="str">
        <f t="shared" si="10"/>
        <v>echo augmentSkillLevel1,3, &gt;&gt; .\items\materia\class0001\Soldier17.dbr</v>
      </c>
      <c r="U19" t="str">
        <f t="shared" si="11"/>
        <v>echo augmentSkillName1,records/skills/playerclass01/bladearc1.dbr, &gt;&gt; .\items\materia\class0001\Soldier17.dbr</v>
      </c>
      <c r="V19" s="5" t="s">
        <v>39</v>
      </c>
      <c r="W19" t="str">
        <f t="shared" si="12"/>
        <v>echo lootName17,DAIL/items/materia/class0001/Soldier17.dbr, &gt;&gt; .\items\loottables\dailoneskill0001.dbr</v>
      </c>
      <c r="X19" t="str">
        <f t="shared" si="13"/>
        <v>echo lootWeight17,1, &gt;&gt; .\items\loottables\dailoneskill0001.dbr</v>
      </c>
      <c r="Y19" s="5" t="s">
        <v>39</v>
      </c>
      <c r="Z19" t="str">
        <f t="shared" si="14"/>
        <v xml:space="preserve"> echo dailCompDescSoldier17=Soldier's Gift of DAIL &gt;&gt; ..\source\text_en\DAILtags_gen.txt</v>
      </c>
      <c r="AA19" t="str">
        <f t="shared" si="15"/>
        <v>echo dailCompTextSoldier17=Soldier's Gift of DAIL &gt;&gt; ..\source\text_en\DAILtags_gen.txt</v>
      </c>
      <c r="AB19" s="5" t="s">
        <v>39</v>
      </c>
    </row>
    <row r="20" spans="1:28" x14ac:dyDescent="0.25">
      <c r="A20" s="5" t="s">
        <v>42</v>
      </c>
      <c r="B20" s="5" t="s">
        <v>29</v>
      </c>
      <c r="C20" s="5" t="str">
        <f t="shared" ref="C20:C44" si="23">"description,dailCompDesc"&amp;H20&amp;G20&amp;","</f>
        <v>description,dailCompDescSoldier18,</v>
      </c>
      <c r="D20" s="5" t="str">
        <f t="shared" ref="D20:D44" si="24">"itemText,dailCompText"&amp;H20&amp;G20&amp;","</f>
        <v>itemText,dailCompTextSoldier18,</v>
      </c>
      <c r="E20" s="5" t="s">
        <v>31</v>
      </c>
      <c r="F20" s="5" t="str">
        <f t="shared" ref="F20:F44" si="25">"augmentSkillName1,records/skills"&amp;I20&amp;","</f>
        <v>augmentSkillName1,records/skills/playerclass01/blitz1.dbr,</v>
      </c>
      <c r="G20" s="7">
        <f t="shared" si="16"/>
        <v>18</v>
      </c>
      <c r="H20" s="8" t="str">
        <f t="shared" si="17"/>
        <v>Soldier</v>
      </c>
      <c r="I20" s="3" t="s">
        <v>12</v>
      </c>
      <c r="J20" s="8" t="str">
        <f t="shared" si="18"/>
        <v>class0001</v>
      </c>
      <c r="K20" s="8" t="str">
        <f t="shared" si="18"/>
        <v>dailoneskill0001</v>
      </c>
      <c r="L20" s="5" t="str">
        <f t="shared" si="4"/>
        <v>lootName18,DAIL/items/materia/class0001/Soldier18.dbr,</v>
      </c>
      <c r="M20" s="5" t="str">
        <f t="shared" si="5"/>
        <v>lootWeight18,1,</v>
      </c>
      <c r="O20" t="str">
        <f t="shared" si="19"/>
        <v>copy .\dail_base.dbr .\items\materia\class0001\Soldier18.dbr /y</v>
      </c>
      <c r="P20" t="str">
        <f t="shared" si="6"/>
        <v>echo relicBitmap,items/craftingparts/components/component_a52_bristlyfur_b.tex, &gt;&gt; .\items\materia\class0001\Soldier18.dbr</v>
      </c>
      <c r="Q20" t="str">
        <f t="shared" si="7"/>
        <v>echo itemCost,300000, &gt;&gt; .\items\materia\class0001\Soldier18.dbr</v>
      </c>
      <c r="R20" t="str">
        <f t="shared" si="8"/>
        <v>echo description,dailCompDescSoldier18, &gt;&gt; .\items\materia\class0001\Soldier18.dbr</v>
      </c>
      <c r="S20" t="str">
        <f t="shared" si="9"/>
        <v>echo itemText,dailCompTextSoldier18, &gt;&gt; .\items\materia\class0001\Soldier18.dbr</v>
      </c>
      <c r="T20" t="str">
        <f t="shared" si="10"/>
        <v>echo augmentSkillLevel1,3, &gt;&gt; .\items\materia\class0001\Soldier18.dbr</v>
      </c>
      <c r="U20" t="str">
        <f t="shared" si="11"/>
        <v>echo augmentSkillName1,records/skills/playerclass01/blitz1.dbr, &gt;&gt; .\items\materia\class0001\Soldier18.dbr</v>
      </c>
      <c r="V20" s="5" t="s">
        <v>39</v>
      </c>
      <c r="W20" t="str">
        <f t="shared" si="12"/>
        <v>echo lootName18,DAIL/items/materia/class0001/Soldier18.dbr, &gt;&gt; .\items\loottables\dailoneskill0001.dbr</v>
      </c>
      <c r="X20" t="str">
        <f t="shared" si="13"/>
        <v>echo lootWeight18,1, &gt;&gt; .\items\loottables\dailoneskill0001.dbr</v>
      </c>
      <c r="Y20" s="5" t="s">
        <v>39</v>
      </c>
      <c r="Z20" t="str">
        <f t="shared" si="14"/>
        <v xml:space="preserve"> echo dailCompDescSoldier18=Soldier's Gift of DAIL &gt;&gt; ..\source\text_en\DAILtags_gen.txt</v>
      </c>
      <c r="AA20" t="str">
        <f t="shared" si="15"/>
        <v>echo dailCompTextSoldier18=Soldier's Gift of DAIL &gt;&gt; ..\source\text_en\DAILtags_gen.txt</v>
      </c>
      <c r="AB20" s="5" t="s">
        <v>39</v>
      </c>
    </row>
    <row r="21" spans="1:28" x14ac:dyDescent="0.25">
      <c r="A21" s="5" t="s">
        <v>42</v>
      </c>
      <c r="B21" s="5" t="s">
        <v>29</v>
      </c>
      <c r="C21" s="5" t="str">
        <f t="shared" si="23"/>
        <v>description,dailCompDescSoldier19,</v>
      </c>
      <c r="D21" s="5" t="str">
        <f t="shared" si="24"/>
        <v>itemText,dailCompTextSoldier19,</v>
      </c>
      <c r="E21" s="5" t="s">
        <v>31</v>
      </c>
      <c r="F21" s="5" t="str">
        <f t="shared" si="25"/>
        <v>augmentSkillName1,records/skills/playerclass01/cadence1.dbr,</v>
      </c>
      <c r="G21" s="7">
        <f t="shared" si="16"/>
        <v>19</v>
      </c>
      <c r="H21" s="8" t="str">
        <f t="shared" si="17"/>
        <v>Soldier</v>
      </c>
      <c r="I21" s="3" t="s">
        <v>13</v>
      </c>
      <c r="J21" s="8" t="str">
        <f t="shared" si="18"/>
        <v>class0001</v>
      </c>
      <c r="K21" s="8" t="str">
        <f t="shared" si="18"/>
        <v>dailoneskill0001</v>
      </c>
      <c r="L21" s="5" t="str">
        <f t="shared" si="4"/>
        <v>lootName19,DAIL/items/materia/class0001/Soldier19.dbr,</v>
      </c>
      <c r="M21" s="5" t="str">
        <f t="shared" si="5"/>
        <v>lootWeight19,1,</v>
      </c>
      <c r="O21" t="str">
        <f t="shared" si="19"/>
        <v>copy .\dail_base.dbr .\items\materia\class0001\Soldier19.dbr /y</v>
      </c>
      <c r="P21" t="str">
        <f t="shared" si="6"/>
        <v>echo relicBitmap,items/craftingparts/components/component_a52_bristlyfur_b.tex, &gt;&gt; .\items\materia\class0001\Soldier19.dbr</v>
      </c>
      <c r="Q21" t="str">
        <f t="shared" si="7"/>
        <v>echo itemCost,300000, &gt;&gt; .\items\materia\class0001\Soldier19.dbr</v>
      </c>
      <c r="R21" t="str">
        <f t="shared" si="8"/>
        <v>echo description,dailCompDescSoldier19, &gt;&gt; .\items\materia\class0001\Soldier19.dbr</v>
      </c>
      <c r="S21" t="str">
        <f t="shared" si="9"/>
        <v>echo itemText,dailCompTextSoldier19, &gt;&gt; .\items\materia\class0001\Soldier19.dbr</v>
      </c>
      <c r="T21" t="str">
        <f t="shared" si="10"/>
        <v>echo augmentSkillLevel1,3, &gt;&gt; .\items\materia\class0001\Soldier19.dbr</v>
      </c>
      <c r="U21" t="str">
        <f t="shared" si="11"/>
        <v>echo augmentSkillName1,records/skills/playerclass01/cadence1.dbr, &gt;&gt; .\items\materia\class0001\Soldier19.dbr</v>
      </c>
      <c r="V21" s="5" t="s">
        <v>39</v>
      </c>
      <c r="W21" t="str">
        <f t="shared" si="12"/>
        <v>echo lootName19,DAIL/items/materia/class0001/Soldier19.dbr, &gt;&gt; .\items\loottables\dailoneskill0001.dbr</v>
      </c>
      <c r="X21" t="str">
        <f t="shared" si="13"/>
        <v>echo lootWeight19,1, &gt;&gt; .\items\loottables\dailoneskill0001.dbr</v>
      </c>
      <c r="Y21" s="5" t="s">
        <v>39</v>
      </c>
      <c r="Z21" t="str">
        <f t="shared" si="14"/>
        <v xml:space="preserve"> echo dailCompDescSoldier19=Soldier's Gift of DAIL &gt;&gt; ..\source\text_en\DAILtags_gen.txt</v>
      </c>
      <c r="AA21" t="str">
        <f t="shared" si="15"/>
        <v>echo dailCompTextSoldier19=Soldier's Gift of DAIL &gt;&gt; ..\source\text_en\DAILtags_gen.txt</v>
      </c>
      <c r="AB21" s="5" t="s">
        <v>39</v>
      </c>
    </row>
    <row r="22" spans="1:28" x14ac:dyDescent="0.25">
      <c r="A22" s="5" t="s">
        <v>42</v>
      </c>
      <c r="B22" s="5" t="s">
        <v>29</v>
      </c>
      <c r="C22" s="5" t="str">
        <f t="shared" si="23"/>
        <v>description,dailCompDescSoldier20,</v>
      </c>
      <c r="D22" s="5" t="str">
        <f t="shared" si="24"/>
        <v>itemText,dailCompTextSoldier20,</v>
      </c>
      <c r="E22" s="5" t="s">
        <v>31</v>
      </c>
      <c r="F22" s="5" t="str">
        <f t="shared" si="25"/>
        <v>augmentSkillName1,records/skills/playerclass01/counterstrike1.dbr,</v>
      </c>
      <c r="G22" s="7">
        <f t="shared" si="16"/>
        <v>20</v>
      </c>
      <c r="H22" s="8" t="str">
        <f t="shared" si="17"/>
        <v>Soldier</v>
      </c>
      <c r="I22" s="3" t="s">
        <v>14</v>
      </c>
      <c r="J22" s="8" t="str">
        <f t="shared" si="18"/>
        <v>class0001</v>
      </c>
      <c r="K22" s="8" t="str">
        <f t="shared" si="18"/>
        <v>dailoneskill0001</v>
      </c>
      <c r="L22" s="5" t="str">
        <f t="shared" si="4"/>
        <v>lootName20,DAIL/items/materia/class0001/Soldier20.dbr,</v>
      </c>
      <c r="M22" s="5" t="str">
        <f t="shared" si="5"/>
        <v>lootWeight20,1,</v>
      </c>
      <c r="O22" t="str">
        <f t="shared" si="19"/>
        <v>copy .\dail_base.dbr .\items\materia\class0001\Soldier20.dbr /y</v>
      </c>
      <c r="P22" t="str">
        <f t="shared" si="6"/>
        <v>echo relicBitmap,items/craftingparts/components/component_a52_bristlyfur_b.tex, &gt;&gt; .\items\materia\class0001\Soldier20.dbr</v>
      </c>
      <c r="Q22" t="str">
        <f t="shared" si="7"/>
        <v>echo itemCost,300000, &gt;&gt; .\items\materia\class0001\Soldier20.dbr</v>
      </c>
      <c r="R22" t="str">
        <f t="shared" si="8"/>
        <v>echo description,dailCompDescSoldier20, &gt;&gt; .\items\materia\class0001\Soldier20.dbr</v>
      </c>
      <c r="S22" t="str">
        <f t="shared" si="9"/>
        <v>echo itemText,dailCompTextSoldier20, &gt;&gt; .\items\materia\class0001\Soldier20.dbr</v>
      </c>
      <c r="T22" t="str">
        <f t="shared" si="10"/>
        <v>echo augmentSkillLevel1,3, &gt;&gt; .\items\materia\class0001\Soldier20.dbr</v>
      </c>
      <c r="U22" t="str">
        <f t="shared" si="11"/>
        <v>echo augmentSkillName1,records/skills/playerclass01/counterstrike1.dbr, &gt;&gt; .\items\materia\class0001\Soldier20.dbr</v>
      </c>
      <c r="V22" s="5" t="s">
        <v>39</v>
      </c>
      <c r="W22" t="str">
        <f t="shared" si="12"/>
        <v>echo lootName20,DAIL/items/materia/class0001/Soldier20.dbr, &gt;&gt; .\items\loottables\dailoneskill0001.dbr</v>
      </c>
      <c r="X22" t="str">
        <f t="shared" si="13"/>
        <v>echo lootWeight20,1, &gt;&gt; .\items\loottables\dailoneskill0001.dbr</v>
      </c>
      <c r="Y22" s="5" t="s">
        <v>39</v>
      </c>
      <c r="Z22" t="str">
        <f t="shared" si="14"/>
        <v xml:space="preserve"> echo dailCompDescSoldier20=Soldier's Gift of DAIL &gt;&gt; ..\source\text_en\DAILtags_gen.txt</v>
      </c>
      <c r="AA22" t="str">
        <f t="shared" si="15"/>
        <v>echo dailCompTextSoldier20=Soldier's Gift of DAIL &gt;&gt; ..\source\text_en\DAILtags_gen.txt</v>
      </c>
      <c r="AB22" s="5" t="s">
        <v>39</v>
      </c>
    </row>
    <row r="23" spans="1:28" x14ac:dyDescent="0.25">
      <c r="A23" s="5" t="s">
        <v>42</v>
      </c>
      <c r="B23" s="5" t="s">
        <v>29</v>
      </c>
      <c r="C23" s="5" t="str">
        <f t="shared" si="23"/>
        <v>description,dailCompDescSoldier21,</v>
      </c>
      <c r="D23" s="5" t="str">
        <f t="shared" si="24"/>
        <v>itemText,dailCompTextSoldier21,</v>
      </c>
      <c r="E23" s="5" t="s">
        <v>31</v>
      </c>
      <c r="F23" s="5" t="str">
        <f t="shared" si="25"/>
        <v>augmentSkillName1,records/skills/playerclass01/fieldcommand1.dbr,</v>
      </c>
      <c r="G23" s="7">
        <f t="shared" si="16"/>
        <v>21</v>
      </c>
      <c r="H23" s="8" t="str">
        <f t="shared" si="17"/>
        <v>Soldier</v>
      </c>
      <c r="I23" s="3" t="s">
        <v>15</v>
      </c>
      <c r="J23" s="8" t="str">
        <f t="shared" si="18"/>
        <v>class0001</v>
      </c>
      <c r="K23" s="8" t="str">
        <f t="shared" si="18"/>
        <v>dailoneskill0001</v>
      </c>
      <c r="L23" s="5" t="str">
        <f t="shared" si="4"/>
        <v>lootName21,DAIL/items/materia/class0001/Soldier21.dbr,</v>
      </c>
      <c r="M23" s="5" t="str">
        <f t="shared" si="5"/>
        <v>lootWeight21,1,</v>
      </c>
      <c r="O23" t="str">
        <f t="shared" si="19"/>
        <v>copy .\dail_base.dbr .\items\materia\class0001\Soldier21.dbr /y</v>
      </c>
      <c r="P23" t="str">
        <f t="shared" si="6"/>
        <v>echo relicBitmap,items/craftingparts/components/component_a52_bristlyfur_b.tex, &gt;&gt; .\items\materia\class0001\Soldier21.dbr</v>
      </c>
      <c r="Q23" t="str">
        <f t="shared" si="7"/>
        <v>echo itemCost,300000, &gt;&gt; .\items\materia\class0001\Soldier21.dbr</v>
      </c>
      <c r="R23" t="str">
        <f t="shared" si="8"/>
        <v>echo description,dailCompDescSoldier21, &gt;&gt; .\items\materia\class0001\Soldier21.dbr</v>
      </c>
      <c r="S23" t="str">
        <f t="shared" si="9"/>
        <v>echo itemText,dailCompTextSoldier21, &gt;&gt; .\items\materia\class0001\Soldier21.dbr</v>
      </c>
      <c r="T23" t="str">
        <f t="shared" si="10"/>
        <v>echo augmentSkillLevel1,3, &gt;&gt; .\items\materia\class0001\Soldier21.dbr</v>
      </c>
      <c r="U23" t="str">
        <f t="shared" si="11"/>
        <v>echo augmentSkillName1,records/skills/playerclass01/fieldcommand1.dbr, &gt;&gt; .\items\materia\class0001\Soldier21.dbr</v>
      </c>
      <c r="V23" s="5" t="s">
        <v>39</v>
      </c>
      <c r="W23" t="str">
        <f t="shared" si="12"/>
        <v>echo lootName21,DAIL/items/materia/class0001/Soldier21.dbr, &gt;&gt; .\items\loottables\dailoneskill0001.dbr</v>
      </c>
      <c r="X23" t="str">
        <f t="shared" si="13"/>
        <v>echo lootWeight21,1, &gt;&gt; .\items\loottables\dailoneskill0001.dbr</v>
      </c>
      <c r="Y23" s="5" t="s">
        <v>39</v>
      </c>
      <c r="Z23" t="str">
        <f t="shared" si="14"/>
        <v xml:space="preserve"> echo dailCompDescSoldier21=Soldier's Gift of DAIL &gt;&gt; ..\source\text_en\DAILtags_gen.txt</v>
      </c>
      <c r="AA23" t="str">
        <f t="shared" si="15"/>
        <v>echo dailCompTextSoldier21=Soldier's Gift of DAIL &gt;&gt; ..\source\text_en\DAILtags_gen.txt</v>
      </c>
      <c r="AB23" s="5" t="s">
        <v>39</v>
      </c>
    </row>
    <row r="24" spans="1:28" x14ac:dyDescent="0.25">
      <c r="A24" s="5" t="s">
        <v>42</v>
      </c>
      <c r="B24" s="5" t="s">
        <v>29</v>
      </c>
      <c r="C24" s="5" t="str">
        <f t="shared" si="23"/>
        <v>description,dailCompDescSoldier22,</v>
      </c>
      <c r="D24" s="5" t="str">
        <f t="shared" si="24"/>
        <v>itemText,dailCompTextSoldier22,</v>
      </c>
      <c r="E24" s="5" t="s">
        <v>31</v>
      </c>
      <c r="F24" s="5" t="str">
        <f t="shared" si="25"/>
        <v>augmentSkillName1,records/skills/playerclass01/fightingspirit1.dbr,</v>
      </c>
      <c r="G24" s="7">
        <f t="shared" si="16"/>
        <v>22</v>
      </c>
      <c r="H24" s="8" t="str">
        <f t="shared" si="17"/>
        <v>Soldier</v>
      </c>
      <c r="I24" s="3" t="s">
        <v>16</v>
      </c>
      <c r="J24" s="8" t="str">
        <f t="shared" si="18"/>
        <v>class0001</v>
      </c>
      <c r="K24" s="8" t="str">
        <f t="shared" si="18"/>
        <v>dailoneskill0001</v>
      </c>
      <c r="L24" s="5" t="str">
        <f t="shared" si="4"/>
        <v>lootName22,DAIL/items/materia/class0001/Soldier22.dbr,</v>
      </c>
      <c r="M24" s="5" t="str">
        <f t="shared" si="5"/>
        <v>lootWeight22,1,</v>
      </c>
      <c r="O24" t="str">
        <f t="shared" si="19"/>
        <v>copy .\dail_base.dbr .\items\materia\class0001\Soldier22.dbr /y</v>
      </c>
      <c r="P24" t="str">
        <f t="shared" si="6"/>
        <v>echo relicBitmap,items/craftingparts/components/component_a52_bristlyfur_b.tex, &gt;&gt; .\items\materia\class0001\Soldier22.dbr</v>
      </c>
      <c r="Q24" t="str">
        <f t="shared" si="7"/>
        <v>echo itemCost,300000, &gt;&gt; .\items\materia\class0001\Soldier22.dbr</v>
      </c>
      <c r="R24" t="str">
        <f t="shared" si="8"/>
        <v>echo description,dailCompDescSoldier22, &gt;&gt; .\items\materia\class0001\Soldier22.dbr</v>
      </c>
      <c r="S24" t="str">
        <f t="shared" si="9"/>
        <v>echo itemText,dailCompTextSoldier22, &gt;&gt; .\items\materia\class0001\Soldier22.dbr</v>
      </c>
      <c r="T24" t="str">
        <f t="shared" si="10"/>
        <v>echo augmentSkillLevel1,3, &gt;&gt; .\items\materia\class0001\Soldier22.dbr</v>
      </c>
      <c r="U24" t="str">
        <f t="shared" si="11"/>
        <v>echo augmentSkillName1,records/skills/playerclass01/fightingspirit1.dbr, &gt;&gt; .\items\materia\class0001\Soldier22.dbr</v>
      </c>
      <c r="V24" s="5" t="s">
        <v>39</v>
      </c>
      <c r="W24" t="str">
        <f t="shared" si="12"/>
        <v>echo lootName22,DAIL/items/materia/class0001/Soldier22.dbr, &gt;&gt; .\items\loottables\dailoneskill0001.dbr</v>
      </c>
      <c r="X24" t="str">
        <f t="shared" si="13"/>
        <v>echo lootWeight22,1, &gt;&gt; .\items\loottables\dailoneskill0001.dbr</v>
      </c>
      <c r="Y24" s="5" t="s">
        <v>39</v>
      </c>
      <c r="Z24" t="str">
        <f t="shared" si="14"/>
        <v xml:space="preserve"> echo dailCompDescSoldier22=Soldier's Gift of DAIL &gt;&gt; ..\source\text_en\DAILtags_gen.txt</v>
      </c>
      <c r="AA24" t="str">
        <f t="shared" si="15"/>
        <v>echo dailCompTextSoldier22=Soldier's Gift of DAIL &gt;&gt; ..\source\text_en\DAILtags_gen.txt</v>
      </c>
      <c r="AB24" s="5" t="s">
        <v>39</v>
      </c>
    </row>
    <row r="25" spans="1:28" x14ac:dyDescent="0.25">
      <c r="A25" s="5" t="s">
        <v>42</v>
      </c>
      <c r="B25" s="5" t="s">
        <v>29</v>
      </c>
      <c r="C25" s="5" t="str">
        <f t="shared" si="23"/>
        <v>description,dailCompDescSoldier23,</v>
      </c>
      <c r="D25" s="5" t="str">
        <f t="shared" si="24"/>
        <v>itemText,dailCompTextSoldier23,</v>
      </c>
      <c r="E25" s="5" t="s">
        <v>31</v>
      </c>
      <c r="F25" s="5" t="str">
        <f t="shared" si="25"/>
        <v>augmentSkillName1,records/skills/playerclass01/overguard1.dbr,</v>
      </c>
      <c r="G25" s="7">
        <f t="shared" si="16"/>
        <v>23</v>
      </c>
      <c r="H25" s="8" t="str">
        <f t="shared" si="17"/>
        <v>Soldier</v>
      </c>
      <c r="I25" s="3" t="s">
        <v>17</v>
      </c>
      <c r="J25" s="8" t="str">
        <f t="shared" si="18"/>
        <v>class0001</v>
      </c>
      <c r="K25" s="8" t="str">
        <f t="shared" si="18"/>
        <v>dailoneskill0001</v>
      </c>
      <c r="L25" s="5" t="str">
        <f t="shared" si="4"/>
        <v>lootName23,DAIL/items/materia/class0001/Soldier23.dbr,</v>
      </c>
      <c r="M25" s="5" t="str">
        <f t="shared" si="5"/>
        <v>lootWeight23,1,</v>
      </c>
      <c r="O25" t="str">
        <f t="shared" si="19"/>
        <v>copy .\dail_base.dbr .\items\materia\class0001\Soldier23.dbr /y</v>
      </c>
      <c r="P25" t="str">
        <f t="shared" si="6"/>
        <v>echo relicBitmap,items/craftingparts/components/component_a52_bristlyfur_b.tex, &gt;&gt; .\items\materia\class0001\Soldier23.dbr</v>
      </c>
      <c r="Q25" t="str">
        <f t="shared" si="7"/>
        <v>echo itemCost,300000, &gt;&gt; .\items\materia\class0001\Soldier23.dbr</v>
      </c>
      <c r="R25" t="str">
        <f t="shared" si="8"/>
        <v>echo description,dailCompDescSoldier23, &gt;&gt; .\items\materia\class0001\Soldier23.dbr</v>
      </c>
      <c r="S25" t="str">
        <f t="shared" si="9"/>
        <v>echo itemText,dailCompTextSoldier23, &gt;&gt; .\items\materia\class0001\Soldier23.dbr</v>
      </c>
      <c r="T25" t="str">
        <f t="shared" si="10"/>
        <v>echo augmentSkillLevel1,3, &gt;&gt; .\items\materia\class0001\Soldier23.dbr</v>
      </c>
      <c r="U25" t="str">
        <f t="shared" si="11"/>
        <v>echo augmentSkillName1,records/skills/playerclass01/overguard1.dbr, &gt;&gt; .\items\materia\class0001\Soldier23.dbr</v>
      </c>
      <c r="V25" s="5" t="s">
        <v>39</v>
      </c>
      <c r="W25" t="str">
        <f t="shared" si="12"/>
        <v>echo lootName23,DAIL/items/materia/class0001/Soldier23.dbr, &gt;&gt; .\items\loottables\dailoneskill0001.dbr</v>
      </c>
      <c r="X25" t="str">
        <f t="shared" si="13"/>
        <v>echo lootWeight23,1, &gt;&gt; .\items\loottables\dailoneskill0001.dbr</v>
      </c>
      <c r="Y25" s="5" t="s">
        <v>39</v>
      </c>
      <c r="Z25" t="str">
        <f t="shared" si="14"/>
        <v xml:space="preserve"> echo dailCompDescSoldier23=Soldier's Gift of DAIL &gt;&gt; ..\source\text_en\DAILtags_gen.txt</v>
      </c>
      <c r="AA25" t="str">
        <f t="shared" si="15"/>
        <v>echo dailCompTextSoldier23=Soldier's Gift of DAIL &gt;&gt; ..\source\text_en\DAILtags_gen.txt</v>
      </c>
      <c r="AB25" s="5" t="s">
        <v>39</v>
      </c>
    </row>
    <row r="26" spans="1:28" x14ac:dyDescent="0.25">
      <c r="A26" s="5" t="s">
        <v>42</v>
      </c>
      <c r="B26" s="5" t="s">
        <v>29</v>
      </c>
      <c r="C26" s="5" t="str">
        <f t="shared" si="23"/>
        <v>description,dailCompDescSoldier24,</v>
      </c>
      <c r="D26" s="5" t="str">
        <f t="shared" si="24"/>
        <v>itemText,dailCompTextSoldier24,</v>
      </c>
      <c r="E26" s="5" t="s">
        <v>31</v>
      </c>
      <c r="F26" s="5" t="str">
        <f t="shared" si="25"/>
        <v>augmentSkillName1,records/skills/playerclass01/passive1.dbr,</v>
      </c>
      <c r="G26" s="7">
        <f t="shared" si="16"/>
        <v>24</v>
      </c>
      <c r="H26" s="8" t="str">
        <f t="shared" si="17"/>
        <v>Soldier</v>
      </c>
      <c r="I26" s="3" t="s">
        <v>18</v>
      </c>
      <c r="J26" s="8" t="str">
        <f t="shared" si="18"/>
        <v>class0001</v>
      </c>
      <c r="K26" s="8" t="str">
        <f t="shared" si="18"/>
        <v>dailoneskill0001</v>
      </c>
      <c r="L26" s="5" t="str">
        <f t="shared" si="4"/>
        <v>lootName24,DAIL/items/materia/class0001/Soldier24.dbr,</v>
      </c>
      <c r="M26" s="5" t="str">
        <f t="shared" si="5"/>
        <v>lootWeight24,1,</v>
      </c>
      <c r="O26" t="str">
        <f t="shared" si="19"/>
        <v>copy .\dail_base.dbr .\items\materia\class0001\Soldier24.dbr /y</v>
      </c>
      <c r="P26" t="str">
        <f t="shared" si="6"/>
        <v>echo relicBitmap,items/craftingparts/components/component_a52_bristlyfur_b.tex, &gt;&gt; .\items\materia\class0001\Soldier24.dbr</v>
      </c>
      <c r="Q26" t="str">
        <f t="shared" si="7"/>
        <v>echo itemCost,300000, &gt;&gt; .\items\materia\class0001\Soldier24.dbr</v>
      </c>
      <c r="R26" t="str">
        <f t="shared" si="8"/>
        <v>echo description,dailCompDescSoldier24, &gt;&gt; .\items\materia\class0001\Soldier24.dbr</v>
      </c>
      <c r="S26" t="str">
        <f t="shared" si="9"/>
        <v>echo itemText,dailCompTextSoldier24, &gt;&gt; .\items\materia\class0001\Soldier24.dbr</v>
      </c>
      <c r="T26" t="str">
        <f t="shared" si="10"/>
        <v>echo augmentSkillLevel1,3, &gt;&gt; .\items\materia\class0001\Soldier24.dbr</v>
      </c>
      <c r="U26" t="str">
        <f t="shared" si="11"/>
        <v>echo augmentSkillName1,records/skills/playerclass01/passive1.dbr, &gt;&gt; .\items\materia\class0001\Soldier24.dbr</v>
      </c>
      <c r="V26" s="5" t="s">
        <v>39</v>
      </c>
      <c r="W26" t="str">
        <f t="shared" si="12"/>
        <v>echo lootName24,DAIL/items/materia/class0001/Soldier24.dbr, &gt;&gt; .\items\loottables\dailoneskill0001.dbr</v>
      </c>
      <c r="X26" t="str">
        <f t="shared" si="13"/>
        <v>echo lootWeight24,1, &gt;&gt; .\items\loottables\dailoneskill0001.dbr</v>
      </c>
      <c r="Y26" s="5" t="s">
        <v>39</v>
      </c>
      <c r="Z26" t="str">
        <f t="shared" si="14"/>
        <v xml:space="preserve"> echo dailCompDescSoldier24=Soldier's Gift of DAIL &gt;&gt; ..\source\text_en\DAILtags_gen.txt</v>
      </c>
      <c r="AA26" t="str">
        <f t="shared" si="15"/>
        <v>echo dailCompTextSoldier24=Soldier's Gift of DAIL &gt;&gt; ..\source\text_en\DAILtags_gen.txt</v>
      </c>
      <c r="AB26" s="5" t="s">
        <v>39</v>
      </c>
    </row>
    <row r="27" spans="1:28" x14ac:dyDescent="0.25">
      <c r="A27" s="5" t="s">
        <v>42</v>
      </c>
      <c r="B27" s="5" t="s">
        <v>29</v>
      </c>
      <c r="C27" s="5" t="str">
        <f t="shared" si="23"/>
        <v>description,dailCompDescSoldier25,</v>
      </c>
      <c r="D27" s="5" t="str">
        <f t="shared" si="24"/>
        <v>itemText,dailCompTextSoldier25,</v>
      </c>
      <c r="E27" s="5" t="s">
        <v>31</v>
      </c>
      <c r="F27" s="5" t="str">
        <f t="shared" si="25"/>
        <v>augmentSkillName1,records/skills/playerclass01/passiveshield.dbr,</v>
      </c>
      <c r="G27" s="7">
        <f t="shared" si="16"/>
        <v>25</v>
      </c>
      <c r="H27" s="8" t="str">
        <f t="shared" si="17"/>
        <v>Soldier</v>
      </c>
      <c r="I27" s="3" t="s">
        <v>19</v>
      </c>
      <c r="J27" s="8" t="str">
        <f t="shared" si="18"/>
        <v>class0001</v>
      </c>
      <c r="K27" s="8" t="str">
        <f t="shared" si="18"/>
        <v>dailoneskill0001</v>
      </c>
      <c r="L27" s="5" t="str">
        <f t="shared" si="4"/>
        <v>lootName25,DAIL/items/materia/class0001/Soldier25.dbr,</v>
      </c>
      <c r="M27" s="5" t="str">
        <f t="shared" si="5"/>
        <v>lootWeight25,1,</v>
      </c>
      <c r="O27" t="str">
        <f t="shared" si="19"/>
        <v>copy .\dail_base.dbr .\items\materia\class0001\Soldier25.dbr /y</v>
      </c>
      <c r="P27" t="str">
        <f t="shared" si="6"/>
        <v>echo relicBitmap,items/craftingparts/components/component_a52_bristlyfur_b.tex, &gt;&gt; .\items\materia\class0001\Soldier25.dbr</v>
      </c>
      <c r="Q27" t="str">
        <f t="shared" si="7"/>
        <v>echo itemCost,300000, &gt;&gt; .\items\materia\class0001\Soldier25.dbr</v>
      </c>
      <c r="R27" t="str">
        <f t="shared" si="8"/>
        <v>echo description,dailCompDescSoldier25, &gt;&gt; .\items\materia\class0001\Soldier25.dbr</v>
      </c>
      <c r="S27" t="str">
        <f t="shared" si="9"/>
        <v>echo itemText,dailCompTextSoldier25, &gt;&gt; .\items\materia\class0001\Soldier25.dbr</v>
      </c>
      <c r="T27" t="str">
        <f t="shared" si="10"/>
        <v>echo augmentSkillLevel1,3, &gt;&gt; .\items\materia\class0001\Soldier25.dbr</v>
      </c>
      <c r="U27" t="str">
        <f t="shared" si="11"/>
        <v>echo augmentSkillName1,records/skills/playerclass01/passiveshield.dbr, &gt;&gt; .\items\materia\class0001\Soldier25.dbr</v>
      </c>
      <c r="V27" s="5" t="s">
        <v>39</v>
      </c>
      <c r="W27" t="str">
        <f t="shared" si="12"/>
        <v>echo lootName25,DAIL/items/materia/class0001/Soldier25.dbr, &gt;&gt; .\items\loottables\dailoneskill0001.dbr</v>
      </c>
      <c r="X27" t="str">
        <f t="shared" si="13"/>
        <v>echo lootWeight25,1, &gt;&gt; .\items\loottables\dailoneskill0001.dbr</v>
      </c>
      <c r="Y27" s="5" t="s">
        <v>39</v>
      </c>
      <c r="Z27" t="str">
        <f t="shared" si="14"/>
        <v xml:space="preserve"> echo dailCompDescSoldier25=Soldier's Gift of DAIL &gt;&gt; ..\source\text_en\DAILtags_gen.txt</v>
      </c>
      <c r="AA27" t="str">
        <f t="shared" si="15"/>
        <v>echo dailCompTextSoldier25=Soldier's Gift of DAIL &gt;&gt; ..\source\text_en\DAILtags_gen.txt</v>
      </c>
      <c r="AB27" s="5" t="s">
        <v>39</v>
      </c>
    </row>
    <row r="28" spans="1:28" x14ac:dyDescent="0.25">
      <c r="A28" s="5" t="s">
        <v>42</v>
      </c>
      <c r="B28" s="5" t="s">
        <v>29</v>
      </c>
      <c r="C28" s="5" t="str">
        <f t="shared" si="23"/>
        <v>description,dailCompDescSoldier26,</v>
      </c>
      <c r="D28" s="5" t="str">
        <f t="shared" si="24"/>
        <v>itemText,dailCompTextSoldier26,</v>
      </c>
      <c r="E28" s="5" t="s">
        <v>31</v>
      </c>
      <c r="F28" s="5" t="str">
        <f t="shared" si="25"/>
        <v>augmentSkillName1,records/skills/playerclass01/shieldhammer1.dbr,</v>
      </c>
      <c r="G28" s="7">
        <f t="shared" si="16"/>
        <v>26</v>
      </c>
      <c r="H28" s="8" t="str">
        <f t="shared" si="17"/>
        <v>Soldier</v>
      </c>
      <c r="I28" s="3" t="s">
        <v>20</v>
      </c>
      <c r="J28" s="8" t="str">
        <f t="shared" si="18"/>
        <v>class0001</v>
      </c>
      <c r="K28" s="8" t="str">
        <f t="shared" si="18"/>
        <v>dailoneskill0001</v>
      </c>
      <c r="L28" s="5" t="str">
        <f t="shared" si="4"/>
        <v>lootName26,DAIL/items/materia/class0001/Soldier26.dbr,</v>
      </c>
      <c r="M28" s="5" t="str">
        <f t="shared" si="5"/>
        <v>lootWeight26,1,</v>
      </c>
      <c r="O28" t="str">
        <f t="shared" si="19"/>
        <v>copy .\dail_base.dbr .\items\materia\class0001\Soldier26.dbr /y</v>
      </c>
      <c r="P28" t="str">
        <f t="shared" si="6"/>
        <v>echo relicBitmap,items/craftingparts/components/component_a52_bristlyfur_b.tex, &gt;&gt; .\items\materia\class0001\Soldier26.dbr</v>
      </c>
      <c r="Q28" t="str">
        <f t="shared" si="7"/>
        <v>echo itemCost,300000, &gt;&gt; .\items\materia\class0001\Soldier26.dbr</v>
      </c>
      <c r="R28" t="str">
        <f t="shared" si="8"/>
        <v>echo description,dailCompDescSoldier26, &gt;&gt; .\items\materia\class0001\Soldier26.dbr</v>
      </c>
      <c r="S28" t="str">
        <f t="shared" si="9"/>
        <v>echo itemText,dailCompTextSoldier26, &gt;&gt; .\items\materia\class0001\Soldier26.dbr</v>
      </c>
      <c r="T28" t="str">
        <f t="shared" si="10"/>
        <v>echo augmentSkillLevel1,3, &gt;&gt; .\items\materia\class0001\Soldier26.dbr</v>
      </c>
      <c r="U28" t="str">
        <f t="shared" si="11"/>
        <v>echo augmentSkillName1,records/skills/playerclass01/shieldhammer1.dbr, &gt;&gt; .\items\materia\class0001\Soldier26.dbr</v>
      </c>
      <c r="V28" s="5" t="s">
        <v>39</v>
      </c>
      <c r="W28" t="str">
        <f t="shared" si="12"/>
        <v>echo lootName26,DAIL/items/materia/class0001/Soldier26.dbr, &gt;&gt; .\items\loottables\dailoneskill0001.dbr</v>
      </c>
      <c r="X28" t="str">
        <f t="shared" si="13"/>
        <v>echo lootWeight26,1, &gt;&gt; .\items\loottables\dailoneskill0001.dbr</v>
      </c>
      <c r="Y28" s="5" t="s">
        <v>39</v>
      </c>
      <c r="Z28" t="str">
        <f t="shared" si="14"/>
        <v xml:space="preserve"> echo dailCompDescSoldier26=Soldier's Gift of DAIL &gt;&gt; ..\source\text_en\DAILtags_gen.txt</v>
      </c>
      <c r="AA28" t="str">
        <f t="shared" si="15"/>
        <v>echo dailCompTextSoldier26=Soldier's Gift of DAIL &gt;&gt; ..\source\text_en\DAILtags_gen.txt</v>
      </c>
      <c r="AB28" s="5" t="s">
        <v>39</v>
      </c>
    </row>
    <row r="29" spans="1:28" x14ac:dyDescent="0.25">
      <c r="A29" s="5" t="s">
        <v>42</v>
      </c>
      <c r="B29" s="5" t="s">
        <v>29</v>
      </c>
      <c r="C29" s="5" t="str">
        <f t="shared" si="23"/>
        <v>description,dailCompDescSoldier27,</v>
      </c>
      <c r="D29" s="5" t="str">
        <f t="shared" si="24"/>
        <v>itemText,dailCompTextSoldier27,</v>
      </c>
      <c r="E29" s="5" t="s">
        <v>31</v>
      </c>
      <c r="F29" s="5" t="str">
        <f t="shared" si="25"/>
        <v>augmentSkillName1,records/skills/playerclass01/stancedefensive.dbr,</v>
      </c>
      <c r="G29" s="7">
        <f t="shared" si="16"/>
        <v>27</v>
      </c>
      <c r="H29" s="8" t="str">
        <f t="shared" si="17"/>
        <v>Soldier</v>
      </c>
      <c r="I29" s="3" t="s">
        <v>21</v>
      </c>
      <c r="J29" s="8" t="str">
        <f t="shared" si="18"/>
        <v>class0001</v>
      </c>
      <c r="K29" s="8" t="str">
        <f t="shared" si="18"/>
        <v>dailoneskill0001</v>
      </c>
      <c r="L29" s="5" t="str">
        <f t="shared" si="4"/>
        <v>lootName27,DAIL/items/materia/class0001/Soldier27.dbr,</v>
      </c>
      <c r="M29" s="5" t="str">
        <f t="shared" si="5"/>
        <v>lootWeight27,1,</v>
      </c>
      <c r="O29" t="str">
        <f t="shared" si="19"/>
        <v>copy .\dail_base.dbr .\items\materia\class0001\Soldier27.dbr /y</v>
      </c>
      <c r="P29" t="str">
        <f t="shared" si="6"/>
        <v>echo relicBitmap,items/craftingparts/components/component_a52_bristlyfur_b.tex, &gt;&gt; .\items\materia\class0001\Soldier27.dbr</v>
      </c>
      <c r="Q29" t="str">
        <f t="shared" si="7"/>
        <v>echo itemCost,300000, &gt;&gt; .\items\materia\class0001\Soldier27.dbr</v>
      </c>
      <c r="R29" t="str">
        <f t="shared" si="8"/>
        <v>echo description,dailCompDescSoldier27, &gt;&gt; .\items\materia\class0001\Soldier27.dbr</v>
      </c>
      <c r="S29" t="str">
        <f t="shared" si="9"/>
        <v>echo itemText,dailCompTextSoldier27, &gt;&gt; .\items\materia\class0001\Soldier27.dbr</v>
      </c>
      <c r="T29" t="str">
        <f t="shared" si="10"/>
        <v>echo augmentSkillLevel1,3, &gt;&gt; .\items\materia\class0001\Soldier27.dbr</v>
      </c>
      <c r="U29" t="str">
        <f t="shared" si="11"/>
        <v>echo augmentSkillName1,records/skills/playerclass01/stancedefensive.dbr, &gt;&gt; .\items\materia\class0001\Soldier27.dbr</v>
      </c>
      <c r="V29" s="5" t="s">
        <v>39</v>
      </c>
      <c r="W29" t="str">
        <f t="shared" si="12"/>
        <v>echo lootName27,DAIL/items/materia/class0001/Soldier27.dbr, &gt;&gt; .\items\loottables\dailoneskill0001.dbr</v>
      </c>
      <c r="X29" t="str">
        <f t="shared" si="13"/>
        <v>echo lootWeight27,1, &gt;&gt; .\items\loottables\dailoneskill0001.dbr</v>
      </c>
      <c r="Y29" s="5" t="s">
        <v>39</v>
      </c>
      <c r="Z29" t="str">
        <f t="shared" si="14"/>
        <v xml:space="preserve"> echo dailCompDescSoldier27=Soldier's Gift of DAIL &gt;&gt; ..\source\text_en\DAILtags_gen.txt</v>
      </c>
      <c r="AA29" t="str">
        <f t="shared" si="15"/>
        <v>echo dailCompTextSoldier27=Soldier's Gift of DAIL &gt;&gt; ..\source\text_en\DAILtags_gen.txt</v>
      </c>
      <c r="AB29" s="5" t="s">
        <v>39</v>
      </c>
    </row>
    <row r="30" spans="1:28" x14ac:dyDescent="0.25">
      <c r="A30" s="5" t="s">
        <v>42</v>
      </c>
      <c r="B30" s="5" t="s">
        <v>29</v>
      </c>
      <c r="C30" s="5" t="str">
        <f t="shared" si="23"/>
        <v>description,dailCompDescSoldier28,</v>
      </c>
      <c r="D30" s="5" t="str">
        <f t="shared" si="24"/>
        <v>itemText,dailCompTextSoldier28,</v>
      </c>
      <c r="E30" s="5" t="s">
        <v>31</v>
      </c>
      <c r="F30" s="5" t="str">
        <f t="shared" si="25"/>
        <v>augmentSkillName1,records/skills/playerclass01/stanceoffensive.dbr,</v>
      </c>
      <c r="G30" s="7">
        <f t="shared" si="16"/>
        <v>28</v>
      </c>
      <c r="H30" s="8" t="str">
        <f t="shared" si="17"/>
        <v>Soldier</v>
      </c>
      <c r="I30" s="3" t="s">
        <v>22</v>
      </c>
      <c r="J30" s="8" t="str">
        <f t="shared" si="18"/>
        <v>class0001</v>
      </c>
      <c r="K30" s="8" t="str">
        <f t="shared" si="18"/>
        <v>dailoneskill0001</v>
      </c>
      <c r="L30" s="5" t="str">
        <f t="shared" si="4"/>
        <v>lootName28,DAIL/items/materia/class0001/Soldier28.dbr,</v>
      </c>
      <c r="M30" s="5" t="str">
        <f t="shared" si="5"/>
        <v>lootWeight28,1,</v>
      </c>
      <c r="O30" t="str">
        <f t="shared" si="19"/>
        <v>copy .\dail_base.dbr .\items\materia\class0001\Soldier28.dbr /y</v>
      </c>
      <c r="P30" t="str">
        <f t="shared" si="6"/>
        <v>echo relicBitmap,items/craftingparts/components/component_a52_bristlyfur_b.tex, &gt;&gt; .\items\materia\class0001\Soldier28.dbr</v>
      </c>
      <c r="Q30" t="str">
        <f t="shared" si="7"/>
        <v>echo itemCost,300000, &gt;&gt; .\items\materia\class0001\Soldier28.dbr</v>
      </c>
      <c r="R30" t="str">
        <f t="shared" si="8"/>
        <v>echo description,dailCompDescSoldier28, &gt;&gt; .\items\materia\class0001\Soldier28.dbr</v>
      </c>
      <c r="S30" t="str">
        <f t="shared" si="9"/>
        <v>echo itemText,dailCompTextSoldier28, &gt;&gt; .\items\materia\class0001\Soldier28.dbr</v>
      </c>
      <c r="T30" t="str">
        <f t="shared" si="10"/>
        <v>echo augmentSkillLevel1,3, &gt;&gt; .\items\materia\class0001\Soldier28.dbr</v>
      </c>
      <c r="U30" t="str">
        <f t="shared" si="11"/>
        <v>echo augmentSkillName1,records/skills/playerclass01/stanceoffensive.dbr, &gt;&gt; .\items\materia\class0001\Soldier28.dbr</v>
      </c>
      <c r="V30" s="5" t="s">
        <v>39</v>
      </c>
      <c r="W30" t="str">
        <f t="shared" si="12"/>
        <v>echo lootName28,DAIL/items/materia/class0001/Soldier28.dbr, &gt;&gt; .\items\loottables\dailoneskill0001.dbr</v>
      </c>
      <c r="X30" t="str">
        <f t="shared" si="13"/>
        <v>echo lootWeight28,1, &gt;&gt; .\items\loottables\dailoneskill0001.dbr</v>
      </c>
      <c r="Y30" s="5" t="s">
        <v>39</v>
      </c>
      <c r="Z30" t="str">
        <f t="shared" si="14"/>
        <v xml:space="preserve"> echo dailCompDescSoldier28=Soldier's Gift of DAIL &gt;&gt; ..\source\text_en\DAILtags_gen.txt</v>
      </c>
      <c r="AA30" t="str">
        <f t="shared" si="15"/>
        <v>echo dailCompTextSoldier28=Soldier's Gift of DAIL &gt;&gt; ..\source\text_en\DAILtags_gen.txt</v>
      </c>
      <c r="AB30" s="5" t="s">
        <v>39</v>
      </c>
    </row>
    <row r="31" spans="1:28" x14ac:dyDescent="0.25">
      <c r="A31" s="5" t="s">
        <v>42</v>
      </c>
      <c r="B31" s="5" t="s">
        <v>29</v>
      </c>
      <c r="C31" s="5" t="str">
        <f t="shared" si="23"/>
        <v>description,dailCompDescSoldier29,</v>
      </c>
      <c r="D31" s="5" t="str">
        <f t="shared" si="24"/>
        <v>itemText,dailCompTextSoldier29,</v>
      </c>
      <c r="E31" s="5" t="s">
        <v>31</v>
      </c>
      <c r="F31" s="5" t="str">
        <f t="shared" si="25"/>
        <v>augmentSkillName1,records/skills/playerclass01/warcry1.dbr,</v>
      </c>
      <c r="G31" s="7">
        <f t="shared" si="16"/>
        <v>29</v>
      </c>
      <c r="H31" s="8" t="str">
        <f t="shared" si="17"/>
        <v>Soldier</v>
      </c>
      <c r="I31" s="3" t="s">
        <v>23</v>
      </c>
      <c r="J31" s="8" t="str">
        <f t="shared" si="18"/>
        <v>class0001</v>
      </c>
      <c r="K31" s="8" t="str">
        <f t="shared" si="18"/>
        <v>dailoneskill0001</v>
      </c>
      <c r="L31" s="5" t="str">
        <f t="shared" si="4"/>
        <v>lootName29,DAIL/items/materia/class0001/Soldier29.dbr,</v>
      </c>
      <c r="M31" s="5" t="str">
        <f t="shared" si="5"/>
        <v>lootWeight29,1,</v>
      </c>
      <c r="O31" t="str">
        <f t="shared" si="19"/>
        <v>copy .\dail_base.dbr .\items\materia\class0001\Soldier29.dbr /y</v>
      </c>
      <c r="P31" t="str">
        <f t="shared" si="6"/>
        <v>echo relicBitmap,items/craftingparts/components/component_a52_bristlyfur_b.tex, &gt;&gt; .\items\materia\class0001\Soldier29.dbr</v>
      </c>
      <c r="Q31" t="str">
        <f t="shared" si="7"/>
        <v>echo itemCost,300000, &gt;&gt; .\items\materia\class0001\Soldier29.dbr</v>
      </c>
      <c r="R31" t="str">
        <f t="shared" si="8"/>
        <v>echo description,dailCompDescSoldier29, &gt;&gt; .\items\materia\class0001\Soldier29.dbr</v>
      </c>
      <c r="S31" t="str">
        <f t="shared" si="9"/>
        <v>echo itemText,dailCompTextSoldier29, &gt;&gt; .\items\materia\class0001\Soldier29.dbr</v>
      </c>
      <c r="T31" t="str">
        <f t="shared" si="10"/>
        <v>echo augmentSkillLevel1,3, &gt;&gt; .\items\materia\class0001\Soldier29.dbr</v>
      </c>
      <c r="U31" t="str">
        <f t="shared" si="11"/>
        <v>echo augmentSkillName1,records/skills/playerclass01/warcry1.dbr, &gt;&gt; .\items\materia\class0001\Soldier29.dbr</v>
      </c>
      <c r="V31" s="5" t="s">
        <v>39</v>
      </c>
      <c r="W31" t="str">
        <f t="shared" si="12"/>
        <v>echo lootName29,DAIL/items/materia/class0001/Soldier29.dbr, &gt;&gt; .\items\loottables\dailoneskill0001.dbr</v>
      </c>
      <c r="X31" t="str">
        <f t="shared" si="13"/>
        <v>echo lootWeight29,1, &gt;&gt; .\items\loottables\dailoneskill0001.dbr</v>
      </c>
      <c r="Y31" s="5" t="s">
        <v>39</v>
      </c>
      <c r="Z31" t="str">
        <f t="shared" si="14"/>
        <v xml:space="preserve"> echo dailCompDescSoldier29=Soldier's Gift of DAIL &gt;&gt; ..\source\text_en\DAILtags_gen.txt</v>
      </c>
      <c r="AA31" t="str">
        <f t="shared" si="15"/>
        <v>echo dailCompTextSoldier29=Soldier's Gift of DAIL &gt;&gt; ..\source\text_en\DAILtags_gen.txt</v>
      </c>
      <c r="AB31" s="5" t="s">
        <v>39</v>
      </c>
    </row>
    <row r="32" spans="1:28" x14ac:dyDescent="0.25">
      <c r="A32" s="5" t="s">
        <v>42</v>
      </c>
      <c r="B32" s="5" t="s">
        <v>33</v>
      </c>
      <c r="C32" s="5" t="str">
        <f t="shared" si="23"/>
        <v>description,dailCompDescSoldier30,</v>
      </c>
      <c r="D32" s="5" t="str">
        <f t="shared" si="24"/>
        <v>itemText,dailCompTextSoldier30,</v>
      </c>
      <c r="E32" s="5" t="s">
        <v>32</v>
      </c>
      <c r="F32" s="5" t="str">
        <f t="shared" si="25"/>
        <v>augmentSkillName1,records/skills/playerclass01/bladearc1.dbr,</v>
      </c>
      <c r="G32" s="7">
        <f t="shared" si="16"/>
        <v>30</v>
      </c>
      <c r="H32" s="8" t="str">
        <f t="shared" si="17"/>
        <v>Soldier</v>
      </c>
      <c r="I32" s="3" t="s">
        <v>11</v>
      </c>
      <c r="J32" s="8" t="str">
        <f t="shared" si="18"/>
        <v>class0001</v>
      </c>
      <c r="K32" s="8" t="str">
        <f t="shared" si="18"/>
        <v>dailoneskill0001</v>
      </c>
      <c r="L32" s="5" t="str">
        <f t="shared" si="4"/>
        <v>lootName30,DAIL/items/materia/class0001/Soldier30.dbr,</v>
      </c>
      <c r="M32" s="5" t="str">
        <f t="shared" si="5"/>
        <v>lootWeight30,1,</v>
      </c>
      <c r="O32" t="str">
        <f t="shared" si="19"/>
        <v>copy .\dail_base.dbr .\items\materia\class0001\Soldier30.dbr /y</v>
      </c>
      <c r="P32" t="str">
        <f t="shared" si="6"/>
        <v>echo relicBitmap,items/craftingparts/components/component_a52_bristlyfur_b.tex, &gt;&gt; .\items\materia\class0001\Soldier30.dbr</v>
      </c>
      <c r="Q32" t="str">
        <f t="shared" si="7"/>
        <v>echo itemCost,500000, &gt;&gt; .\items\materia\class0001\Soldier30.dbr</v>
      </c>
      <c r="R32" t="str">
        <f t="shared" si="8"/>
        <v>echo description,dailCompDescSoldier30, &gt;&gt; .\items\materia\class0001\Soldier30.dbr</v>
      </c>
      <c r="S32" t="str">
        <f t="shared" si="9"/>
        <v>echo itemText,dailCompTextSoldier30, &gt;&gt; .\items\materia\class0001\Soldier30.dbr</v>
      </c>
      <c r="T32" t="str">
        <f t="shared" si="10"/>
        <v>echo augmentSkillLevel1,5, &gt;&gt; .\items\materia\class0001\Soldier30.dbr</v>
      </c>
      <c r="U32" t="str">
        <f t="shared" si="11"/>
        <v>echo augmentSkillName1,records/skills/playerclass01/bladearc1.dbr, &gt;&gt; .\items\materia\class0001\Soldier30.dbr</v>
      </c>
      <c r="V32" s="5" t="s">
        <v>39</v>
      </c>
      <c r="W32" t="str">
        <f t="shared" si="12"/>
        <v>echo lootName30,DAIL/items/materia/class0001/Soldier30.dbr, &gt;&gt; .\items\loottables\dailoneskill0001.dbr</v>
      </c>
      <c r="X32" t="str">
        <f t="shared" si="13"/>
        <v>echo lootWeight30,1, &gt;&gt; .\items\loottables\dailoneskill0001.dbr</v>
      </c>
      <c r="Y32" s="5" t="s">
        <v>39</v>
      </c>
      <c r="Z32" t="str">
        <f t="shared" si="14"/>
        <v xml:space="preserve"> echo dailCompDescSoldier30=Soldier's Gift of DAIL &gt;&gt; ..\source\text_en\DAILtags_gen.txt</v>
      </c>
      <c r="AA32" t="str">
        <f t="shared" si="15"/>
        <v>echo dailCompTextSoldier30=Soldier's Gift of DAIL &gt;&gt; ..\source\text_en\DAILtags_gen.txt</v>
      </c>
      <c r="AB32" s="5" t="s">
        <v>39</v>
      </c>
    </row>
    <row r="33" spans="1:28" x14ac:dyDescent="0.25">
      <c r="A33" s="5" t="s">
        <v>42</v>
      </c>
      <c r="B33" s="5" t="s">
        <v>33</v>
      </c>
      <c r="C33" s="5" t="str">
        <f t="shared" si="23"/>
        <v>description,dailCompDescSoldier31,</v>
      </c>
      <c r="D33" s="5" t="str">
        <f t="shared" si="24"/>
        <v>itemText,dailCompTextSoldier31,</v>
      </c>
      <c r="E33" s="5" t="s">
        <v>32</v>
      </c>
      <c r="F33" s="5" t="str">
        <f t="shared" si="25"/>
        <v>augmentSkillName1,records/skills/playerclass01/blitz1.dbr,</v>
      </c>
      <c r="G33" s="7">
        <f t="shared" si="16"/>
        <v>31</v>
      </c>
      <c r="H33" s="8" t="str">
        <f t="shared" si="17"/>
        <v>Soldier</v>
      </c>
      <c r="I33" s="3" t="s">
        <v>12</v>
      </c>
      <c r="J33" s="8" t="str">
        <f t="shared" si="18"/>
        <v>class0001</v>
      </c>
      <c r="K33" s="8" t="str">
        <f t="shared" si="18"/>
        <v>dailoneskill0001</v>
      </c>
      <c r="L33" s="5" t="str">
        <f t="shared" si="4"/>
        <v>lootName31,DAIL/items/materia/class0001/Soldier31.dbr,</v>
      </c>
      <c r="M33" s="5" t="str">
        <f t="shared" si="5"/>
        <v>lootWeight31,1,</v>
      </c>
      <c r="O33" t="str">
        <f t="shared" si="19"/>
        <v>copy .\dail_base.dbr .\items\materia\class0001\Soldier31.dbr /y</v>
      </c>
      <c r="P33" t="str">
        <f t="shared" si="6"/>
        <v>echo relicBitmap,items/craftingparts/components/component_a52_bristlyfur_b.tex, &gt;&gt; .\items\materia\class0001\Soldier31.dbr</v>
      </c>
      <c r="Q33" t="str">
        <f t="shared" si="7"/>
        <v>echo itemCost,500000, &gt;&gt; .\items\materia\class0001\Soldier31.dbr</v>
      </c>
      <c r="R33" t="str">
        <f t="shared" si="8"/>
        <v>echo description,dailCompDescSoldier31, &gt;&gt; .\items\materia\class0001\Soldier31.dbr</v>
      </c>
      <c r="S33" t="str">
        <f t="shared" si="9"/>
        <v>echo itemText,dailCompTextSoldier31, &gt;&gt; .\items\materia\class0001\Soldier31.dbr</v>
      </c>
      <c r="T33" t="str">
        <f t="shared" si="10"/>
        <v>echo augmentSkillLevel1,5, &gt;&gt; .\items\materia\class0001\Soldier31.dbr</v>
      </c>
      <c r="U33" t="str">
        <f t="shared" si="11"/>
        <v>echo augmentSkillName1,records/skills/playerclass01/blitz1.dbr, &gt;&gt; .\items\materia\class0001\Soldier31.dbr</v>
      </c>
      <c r="V33" s="5" t="s">
        <v>39</v>
      </c>
      <c r="W33" t="str">
        <f t="shared" si="12"/>
        <v>echo lootName31,DAIL/items/materia/class0001/Soldier31.dbr, &gt;&gt; .\items\loottables\dailoneskill0001.dbr</v>
      </c>
      <c r="X33" t="str">
        <f t="shared" si="13"/>
        <v>echo lootWeight31,1, &gt;&gt; .\items\loottables\dailoneskill0001.dbr</v>
      </c>
      <c r="Y33" s="5" t="s">
        <v>39</v>
      </c>
      <c r="Z33" t="str">
        <f t="shared" si="14"/>
        <v xml:space="preserve"> echo dailCompDescSoldier31=Soldier's Gift of DAIL &gt;&gt; ..\source\text_en\DAILtags_gen.txt</v>
      </c>
      <c r="AA33" t="str">
        <f t="shared" si="15"/>
        <v>echo dailCompTextSoldier31=Soldier's Gift of DAIL &gt;&gt; ..\source\text_en\DAILtags_gen.txt</v>
      </c>
      <c r="AB33" s="5" t="s">
        <v>39</v>
      </c>
    </row>
    <row r="34" spans="1:28" x14ac:dyDescent="0.25">
      <c r="A34" s="5" t="s">
        <v>42</v>
      </c>
      <c r="B34" s="5" t="s">
        <v>33</v>
      </c>
      <c r="C34" s="5" t="str">
        <f t="shared" si="23"/>
        <v>description,dailCompDescSoldier32,</v>
      </c>
      <c r="D34" s="5" t="str">
        <f t="shared" si="24"/>
        <v>itemText,dailCompTextSoldier32,</v>
      </c>
      <c r="E34" s="5" t="s">
        <v>32</v>
      </c>
      <c r="F34" s="5" t="str">
        <f t="shared" si="25"/>
        <v>augmentSkillName1,records/skills/playerclass01/cadence1.dbr,</v>
      </c>
      <c r="G34" s="7">
        <f t="shared" si="16"/>
        <v>32</v>
      </c>
      <c r="H34" s="8" t="str">
        <f t="shared" si="17"/>
        <v>Soldier</v>
      </c>
      <c r="I34" s="3" t="s">
        <v>13</v>
      </c>
      <c r="J34" s="8" t="str">
        <f t="shared" si="18"/>
        <v>class0001</v>
      </c>
      <c r="K34" s="8" t="str">
        <f t="shared" si="18"/>
        <v>dailoneskill0001</v>
      </c>
      <c r="L34" s="5" t="str">
        <f t="shared" si="4"/>
        <v>lootName32,DAIL/items/materia/class0001/Soldier32.dbr,</v>
      </c>
      <c r="M34" s="5" t="str">
        <f t="shared" si="5"/>
        <v>lootWeight32,1,</v>
      </c>
      <c r="O34" t="str">
        <f t="shared" si="19"/>
        <v>copy .\dail_base.dbr .\items\materia\class0001\Soldier32.dbr /y</v>
      </c>
      <c r="P34" t="str">
        <f t="shared" si="6"/>
        <v>echo relicBitmap,items/craftingparts/components/component_a52_bristlyfur_b.tex, &gt;&gt; .\items\materia\class0001\Soldier32.dbr</v>
      </c>
      <c r="Q34" t="str">
        <f t="shared" si="7"/>
        <v>echo itemCost,500000, &gt;&gt; .\items\materia\class0001\Soldier32.dbr</v>
      </c>
      <c r="R34" t="str">
        <f t="shared" si="8"/>
        <v>echo description,dailCompDescSoldier32, &gt;&gt; .\items\materia\class0001\Soldier32.dbr</v>
      </c>
      <c r="S34" t="str">
        <f t="shared" si="9"/>
        <v>echo itemText,dailCompTextSoldier32, &gt;&gt; .\items\materia\class0001\Soldier32.dbr</v>
      </c>
      <c r="T34" t="str">
        <f t="shared" si="10"/>
        <v>echo augmentSkillLevel1,5, &gt;&gt; .\items\materia\class0001\Soldier32.dbr</v>
      </c>
      <c r="U34" t="str">
        <f t="shared" si="11"/>
        <v>echo augmentSkillName1,records/skills/playerclass01/cadence1.dbr, &gt;&gt; .\items\materia\class0001\Soldier32.dbr</v>
      </c>
      <c r="V34" s="5" t="s">
        <v>39</v>
      </c>
      <c r="W34" t="str">
        <f t="shared" si="12"/>
        <v>echo lootName32,DAIL/items/materia/class0001/Soldier32.dbr, &gt;&gt; .\items\loottables\dailoneskill0001.dbr</v>
      </c>
      <c r="X34" t="str">
        <f t="shared" si="13"/>
        <v>echo lootWeight32,1, &gt;&gt; .\items\loottables\dailoneskill0001.dbr</v>
      </c>
      <c r="Y34" s="5" t="s">
        <v>39</v>
      </c>
      <c r="Z34" t="str">
        <f t="shared" si="14"/>
        <v xml:space="preserve"> echo dailCompDescSoldier32=Soldier's Gift of DAIL &gt;&gt; ..\source\text_en\DAILtags_gen.txt</v>
      </c>
      <c r="AA34" t="str">
        <f t="shared" si="15"/>
        <v>echo dailCompTextSoldier32=Soldier's Gift of DAIL &gt;&gt; ..\source\text_en\DAILtags_gen.txt</v>
      </c>
      <c r="AB34" s="5" t="s">
        <v>39</v>
      </c>
    </row>
    <row r="35" spans="1:28" x14ac:dyDescent="0.25">
      <c r="A35" s="5" t="s">
        <v>42</v>
      </c>
      <c r="B35" s="5" t="s">
        <v>33</v>
      </c>
      <c r="C35" s="5" t="str">
        <f t="shared" si="23"/>
        <v>description,dailCompDescSoldier33,</v>
      </c>
      <c r="D35" s="5" t="str">
        <f t="shared" si="24"/>
        <v>itemText,dailCompTextSoldier33,</v>
      </c>
      <c r="E35" s="5" t="s">
        <v>32</v>
      </c>
      <c r="F35" s="5" t="str">
        <f t="shared" si="25"/>
        <v>augmentSkillName1,records/skills/playerclass01/counterstrike1.dbr,</v>
      </c>
      <c r="G35" s="7">
        <f t="shared" si="16"/>
        <v>33</v>
      </c>
      <c r="H35" s="8" t="str">
        <f t="shared" si="17"/>
        <v>Soldier</v>
      </c>
      <c r="I35" s="3" t="s">
        <v>14</v>
      </c>
      <c r="J35" s="8" t="str">
        <f t="shared" si="18"/>
        <v>class0001</v>
      </c>
      <c r="K35" s="8" t="str">
        <f t="shared" si="18"/>
        <v>dailoneskill0001</v>
      </c>
      <c r="L35" s="5" t="str">
        <f t="shared" si="4"/>
        <v>lootName33,DAIL/items/materia/class0001/Soldier33.dbr,</v>
      </c>
      <c r="M35" s="5" t="str">
        <f t="shared" si="5"/>
        <v>lootWeight33,1,</v>
      </c>
      <c r="O35" t="str">
        <f t="shared" si="19"/>
        <v>copy .\dail_base.dbr .\items\materia\class0001\Soldier33.dbr /y</v>
      </c>
      <c r="P35" t="str">
        <f t="shared" si="6"/>
        <v>echo relicBitmap,items/craftingparts/components/component_a52_bristlyfur_b.tex, &gt;&gt; .\items\materia\class0001\Soldier33.dbr</v>
      </c>
      <c r="Q35" t="str">
        <f t="shared" si="7"/>
        <v>echo itemCost,500000, &gt;&gt; .\items\materia\class0001\Soldier33.dbr</v>
      </c>
      <c r="R35" t="str">
        <f t="shared" si="8"/>
        <v>echo description,dailCompDescSoldier33, &gt;&gt; .\items\materia\class0001\Soldier33.dbr</v>
      </c>
      <c r="S35" t="str">
        <f t="shared" si="9"/>
        <v>echo itemText,dailCompTextSoldier33, &gt;&gt; .\items\materia\class0001\Soldier33.dbr</v>
      </c>
      <c r="T35" t="str">
        <f t="shared" si="10"/>
        <v>echo augmentSkillLevel1,5, &gt;&gt; .\items\materia\class0001\Soldier33.dbr</v>
      </c>
      <c r="U35" t="str">
        <f t="shared" si="11"/>
        <v>echo augmentSkillName1,records/skills/playerclass01/counterstrike1.dbr, &gt;&gt; .\items\materia\class0001\Soldier33.dbr</v>
      </c>
      <c r="V35" s="5" t="s">
        <v>39</v>
      </c>
      <c r="W35" t="str">
        <f t="shared" si="12"/>
        <v>echo lootName33,DAIL/items/materia/class0001/Soldier33.dbr, &gt;&gt; .\items\loottables\dailoneskill0001.dbr</v>
      </c>
      <c r="X35" t="str">
        <f t="shared" si="13"/>
        <v>echo lootWeight33,1, &gt;&gt; .\items\loottables\dailoneskill0001.dbr</v>
      </c>
      <c r="Y35" s="5" t="s">
        <v>39</v>
      </c>
      <c r="Z35" t="str">
        <f t="shared" si="14"/>
        <v xml:space="preserve"> echo dailCompDescSoldier33=Soldier's Gift of DAIL &gt;&gt; ..\source\text_en\DAILtags_gen.txt</v>
      </c>
      <c r="AA35" t="str">
        <f t="shared" si="15"/>
        <v>echo dailCompTextSoldier33=Soldier's Gift of DAIL &gt;&gt; ..\source\text_en\DAILtags_gen.txt</v>
      </c>
      <c r="AB35" s="5" t="s">
        <v>39</v>
      </c>
    </row>
    <row r="36" spans="1:28" x14ac:dyDescent="0.25">
      <c r="A36" s="5" t="s">
        <v>42</v>
      </c>
      <c r="B36" s="5" t="s">
        <v>33</v>
      </c>
      <c r="C36" s="5" t="str">
        <f t="shared" si="23"/>
        <v>description,dailCompDescSoldier34,</v>
      </c>
      <c r="D36" s="5" t="str">
        <f t="shared" si="24"/>
        <v>itemText,dailCompTextSoldier34,</v>
      </c>
      <c r="E36" s="5" t="s">
        <v>32</v>
      </c>
      <c r="F36" s="5" t="str">
        <f t="shared" si="25"/>
        <v>augmentSkillName1,records/skills/playerclass01/fieldcommand1.dbr,</v>
      </c>
      <c r="G36" s="7">
        <f t="shared" si="16"/>
        <v>34</v>
      </c>
      <c r="H36" s="8" t="str">
        <f t="shared" si="17"/>
        <v>Soldier</v>
      </c>
      <c r="I36" s="3" t="s">
        <v>15</v>
      </c>
      <c r="J36" s="8" t="str">
        <f t="shared" si="18"/>
        <v>class0001</v>
      </c>
      <c r="K36" s="8" t="str">
        <f t="shared" si="18"/>
        <v>dailoneskill0001</v>
      </c>
      <c r="L36" s="5" t="str">
        <f t="shared" si="4"/>
        <v>lootName34,DAIL/items/materia/class0001/Soldier34.dbr,</v>
      </c>
      <c r="M36" s="5" t="str">
        <f t="shared" si="5"/>
        <v>lootWeight34,1,</v>
      </c>
      <c r="O36" t="str">
        <f t="shared" si="19"/>
        <v>copy .\dail_base.dbr .\items\materia\class0001\Soldier34.dbr /y</v>
      </c>
      <c r="P36" t="str">
        <f t="shared" si="6"/>
        <v>echo relicBitmap,items/craftingparts/components/component_a52_bristlyfur_b.tex, &gt;&gt; .\items\materia\class0001\Soldier34.dbr</v>
      </c>
      <c r="Q36" t="str">
        <f t="shared" si="7"/>
        <v>echo itemCost,500000, &gt;&gt; .\items\materia\class0001\Soldier34.dbr</v>
      </c>
      <c r="R36" t="str">
        <f t="shared" si="8"/>
        <v>echo description,dailCompDescSoldier34, &gt;&gt; .\items\materia\class0001\Soldier34.dbr</v>
      </c>
      <c r="S36" t="str">
        <f t="shared" si="9"/>
        <v>echo itemText,dailCompTextSoldier34, &gt;&gt; .\items\materia\class0001\Soldier34.dbr</v>
      </c>
      <c r="T36" t="str">
        <f t="shared" si="10"/>
        <v>echo augmentSkillLevel1,5, &gt;&gt; .\items\materia\class0001\Soldier34.dbr</v>
      </c>
      <c r="U36" t="str">
        <f t="shared" si="11"/>
        <v>echo augmentSkillName1,records/skills/playerclass01/fieldcommand1.dbr, &gt;&gt; .\items\materia\class0001\Soldier34.dbr</v>
      </c>
      <c r="V36" s="5" t="s">
        <v>39</v>
      </c>
      <c r="W36" t="str">
        <f t="shared" si="12"/>
        <v>echo lootName34,DAIL/items/materia/class0001/Soldier34.dbr, &gt;&gt; .\items\loottables\dailoneskill0001.dbr</v>
      </c>
      <c r="X36" t="str">
        <f t="shared" si="13"/>
        <v>echo lootWeight34,1, &gt;&gt; .\items\loottables\dailoneskill0001.dbr</v>
      </c>
      <c r="Y36" s="5" t="s">
        <v>39</v>
      </c>
      <c r="Z36" t="str">
        <f t="shared" si="14"/>
        <v xml:space="preserve"> echo dailCompDescSoldier34=Soldier's Gift of DAIL &gt;&gt; ..\source\text_en\DAILtags_gen.txt</v>
      </c>
      <c r="AA36" t="str">
        <f t="shared" si="15"/>
        <v>echo dailCompTextSoldier34=Soldier's Gift of DAIL &gt;&gt; ..\source\text_en\DAILtags_gen.txt</v>
      </c>
      <c r="AB36" s="5" t="s">
        <v>39</v>
      </c>
    </row>
    <row r="37" spans="1:28" x14ac:dyDescent="0.25">
      <c r="A37" s="5" t="s">
        <v>42</v>
      </c>
      <c r="B37" s="5" t="s">
        <v>33</v>
      </c>
      <c r="C37" s="5" t="str">
        <f t="shared" si="23"/>
        <v>description,dailCompDescSoldier35,</v>
      </c>
      <c r="D37" s="5" t="str">
        <f t="shared" si="24"/>
        <v>itemText,dailCompTextSoldier35,</v>
      </c>
      <c r="E37" s="5" t="s">
        <v>32</v>
      </c>
      <c r="F37" s="5" t="str">
        <f t="shared" si="25"/>
        <v>augmentSkillName1,records/skills/playerclass01/fightingspirit1.dbr,</v>
      </c>
      <c r="G37" s="7">
        <f t="shared" si="16"/>
        <v>35</v>
      </c>
      <c r="H37" s="8" t="str">
        <f t="shared" si="17"/>
        <v>Soldier</v>
      </c>
      <c r="I37" s="3" t="s">
        <v>16</v>
      </c>
      <c r="J37" s="8" t="str">
        <f t="shared" si="18"/>
        <v>class0001</v>
      </c>
      <c r="K37" s="8" t="str">
        <f t="shared" si="18"/>
        <v>dailoneskill0001</v>
      </c>
      <c r="L37" s="5" t="str">
        <f t="shared" si="4"/>
        <v>lootName35,DAIL/items/materia/class0001/Soldier35.dbr,</v>
      </c>
      <c r="M37" s="5" t="str">
        <f t="shared" si="5"/>
        <v>lootWeight35,1,</v>
      </c>
      <c r="O37" t="str">
        <f t="shared" si="19"/>
        <v>copy .\dail_base.dbr .\items\materia\class0001\Soldier35.dbr /y</v>
      </c>
      <c r="P37" t="str">
        <f t="shared" si="6"/>
        <v>echo relicBitmap,items/craftingparts/components/component_a52_bristlyfur_b.tex, &gt;&gt; .\items\materia\class0001\Soldier35.dbr</v>
      </c>
      <c r="Q37" t="str">
        <f t="shared" si="7"/>
        <v>echo itemCost,500000, &gt;&gt; .\items\materia\class0001\Soldier35.dbr</v>
      </c>
      <c r="R37" t="str">
        <f t="shared" si="8"/>
        <v>echo description,dailCompDescSoldier35, &gt;&gt; .\items\materia\class0001\Soldier35.dbr</v>
      </c>
      <c r="S37" t="str">
        <f t="shared" si="9"/>
        <v>echo itemText,dailCompTextSoldier35, &gt;&gt; .\items\materia\class0001\Soldier35.dbr</v>
      </c>
      <c r="T37" t="str">
        <f t="shared" si="10"/>
        <v>echo augmentSkillLevel1,5, &gt;&gt; .\items\materia\class0001\Soldier35.dbr</v>
      </c>
      <c r="U37" t="str">
        <f t="shared" si="11"/>
        <v>echo augmentSkillName1,records/skills/playerclass01/fightingspirit1.dbr, &gt;&gt; .\items\materia\class0001\Soldier35.dbr</v>
      </c>
      <c r="V37" s="5" t="s">
        <v>39</v>
      </c>
      <c r="W37" t="str">
        <f t="shared" si="12"/>
        <v>echo lootName35,DAIL/items/materia/class0001/Soldier35.dbr, &gt;&gt; .\items\loottables\dailoneskill0001.dbr</v>
      </c>
      <c r="X37" t="str">
        <f t="shared" si="13"/>
        <v>echo lootWeight35,1, &gt;&gt; .\items\loottables\dailoneskill0001.dbr</v>
      </c>
      <c r="Y37" s="5" t="s">
        <v>39</v>
      </c>
      <c r="Z37" t="str">
        <f t="shared" si="14"/>
        <v xml:space="preserve"> echo dailCompDescSoldier35=Soldier's Gift of DAIL &gt;&gt; ..\source\text_en\DAILtags_gen.txt</v>
      </c>
      <c r="AA37" t="str">
        <f t="shared" si="15"/>
        <v>echo dailCompTextSoldier35=Soldier's Gift of DAIL &gt;&gt; ..\source\text_en\DAILtags_gen.txt</v>
      </c>
      <c r="AB37" s="5" t="s">
        <v>39</v>
      </c>
    </row>
    <row r="38" spans="1:28" x14ac:dyDescent="0.25">
      <c r="A38" s="5" t="s">
        <v>42</v>
      </c>
      <c r="B38" s="5" t="s">
        <v>33</v>
      </c>
      <c r="C38" s="5" t="str">
        <f t="shared" si="23"/>
        <v>description,dailCompDescSoldier36,</v>
      </c>
      <c r="D38" s="5" t="str">
        <f t="shared" si="24"/>
        <v>itemText,dailCompTextSoldier36,</v>
      </c>
      <c r="E38" s="5" t="s">
        <v>32</v>
      </c>
      <c r="F38" s="5" t="str">
        <f t="shared" si="25"/>
        <v>augmentSkillName1,records/skills/playerclass01/overguard1.dbr,</v>
      </c>
      <c r="G38" s="7">
        <f t="shared" si="16"/>
        <v>36</v>
      </c>
      <c r="H38" s="8" t="str">
        <f t="shared" si="17"/>
        <v>Soldier</v>
      </c>
      <c r="I38" s="3" t="s">
        <v>17</v>
      </c>
      <c r="J38" s="8" t="str">
        <f t="shared" si="18"/>
        <v>class0001</v>
      </c>
      <c r="K38" s="8" t="str">
        <f t="shared" si="18"/>
        <v>dailoneskill0001</v>
      </c>
      <c r="L38" s="5" t="str">
        <f t="shared" si="4"/>
        <v>lootName36,DAIL/items/materia/class0001/Soldier36.dbr,</v>
      </c>
      <c r="M38" s="5" t="str">
        <f t="shared" si="5"/>
        <v>lootWeight36,1,</v>
      </c>
      <c r="O38" t="str">
        <f t="shared" si="19"/>
        <v>copy .\dail_base.dbr .\items\materia\class0001\Soldier36.dbr /y</v>
      </c>
      <c r="P38" t="str">
        <f t="shared" si="6"/>
        <v>echo relicBitmap,items/craftingparts/components/component_a52_bristlyfur_b.tex, &gt;&gt; .\items\materia\class0001\Soldier36.dbr</v>
      </c>
      <c r="Q38" t="str">
        <f t="shared" si="7"/>
        <v>echo itemCost,500000, &gt;&gt; .\items\materia\class0001\Soldier36.dbr</v>
      </c>
      <c r="R38" t="str">
        <f t="shared" si="8"/>
        <v>echo description,dailCompDescSoldier36, &gt;&gt; .\items\materia\class0001\Soldier36.dbr</v>
      </c>
      <c r="S38" t="str">
        <f t="shared" si="9"/>
        <v>echo itemText,dailCompTextSoldier36, &gt;&gt; .\items\materia\class0001\Soldier36.dbr</v>
      </c>
      <c r="T38" t="str">
        <f t="shared" si="10"/>
        <v>echo augmentSkillLevel1,5, &gt;&gt; .\items\materia\class0001\Soldier36.dbr</v>
      </c>
      <c r="U38" t="str">
        <f t="shared" si="11"/>
        <v>echo augmentSkillName1,records/skills/playerclass01/overguard1.dbr, &gt;&gt; .\items\materia\class0001\Soldier36.dbr</v>
      </c>
      <c r="V38" s="5" t="s">
        <v>39</v>
      </c>
      <c r="W38" t="str">
        <f t="shared" si="12"/>
        <v>echo lootName36,DAIL/items/materia/class0001/Soldier36.dbr, &gt;&gt; .\items\loottables\dailoneskill0001.dbr</v>
      </c>
      <c r="X38" t="str">
        <f t="shared" si="13"/>
        <v>echo lootWeight36,1, &gt;&gt; .\items\loottables\dailoneskill0001.dbr</v>
      </c>
      <c r="Y38" s="5" t="s">
        <v>39</v>
      </c>
      <c r="Z38" t="str">
        <f t="shared" si="14"/>
        <v xml:space="preserve"> echo dailCompDescSoldier36=Soldier's Gift of DAIL &gt;&gt; ..\source\text_en\DAILtags_gen.txt</v>
      </c>
      <c r="AA38" t="str">
        <f t="shared" si="15"/>
        <v>echo dailCompTextSoldier36=Soldier's Gift of DAIL &gt;&gt; ..\source\text_en\DAILtags_gen.txt</v>
      </c>
      <c r="AB38" s="5" t="s">
        <v>39</v>
      </c>
    </row>
    <row r="39" spans="1:28" x14ac:dyDescent="0.25">
      <c r="A39" s="5" t="s">
        <v>42</v>
      </c>
      <c r="B39" s="5" t="s">
        <v>33</v>
      </c>
      <c r="C39" s="5" t="str">
        <f t="shared" si="23"/>
        <v>description,dailCompDescSoldier37,</v>
      </c>
      <c r="D39" s="5" t="str">
        <f t="shared" si="24"/>
        <v>itemText,dailCompTextSoldier37,</v>
      </c>
      <c r="E39" s="5" t="s">
        <v>32</v>
      </c>
      <c r="F39" s="5" t="str">
        <f t="shared" si="25"/>
        <v>augmentSkillName1,records/skills/playerclass01/passive1.dbr,</v>
      </c>
      <c r="G39" s="7">
        <f t="shared" si="16"/>
        <v>37</v>
      </c>
      <c r="H39" s="8" t="str">
        <f t="shared" si="17"/>
        <v>Soldier</v>
      </c>
      <c r="I39" s="3" t="s">
        <v>18</v>
      </c>
      <c r="J39" s="8" t="str">
        <f t="shared" si="18"/>
        <v>class0001</v>
      </c>
      <c r="K39" s="8" t="str">
        <f t="shared" si="18"/>
        <v>dailoneskill0001</v>
      </c>
      <c r="L39" s="5" t="str">
        <f t="shared" si="4"/>
        <v>lootName37,DAIL/items/materia/class0001/Soldier37.dbr,</v>
      </c>
      <c r="M39" s="5" t="str">
        <f t="shared" si="5"/>
        <v>lootWeight37,1,</v>
      </c>
      <c r="O39" t="str">
        <f t="shared" si="19"/>
        <v>copy .\dail_base.dbr .\items\materia\class0001\Soldier37.dbr /y</v>
      </c>
      <c r="P39" t="str">
        <f t="shared" si="6"/>
        <v>echo relicBitmap,items/craftingparts/components/component_a52_bristlyfur_b.tex, &gt;&gt; .\items\materia\class0001\Soldier37.dbr</v>
      </c>
      <c r="Q39" t="str">
        <f t="shared" si="7"/>
        <v>echo itemCost,500000, &gt;&gt; .\items\materia\class0001\Soldier37.dbr</v>
      </c>
      <c r="R39" t="str">
        <f t="shared" si="8"/>
        <v>echo description,dailCompDescSoldier37, &gt;&gt; .\items\materia\class0001\Soldier37.dbr</v>
      </c>
      <c r="S39" t="str">
        <f t="shared" si="9"/>
        <v>echo itemText,dailCompTextSoldier37, &gt;&gt; .\items\materia\class0001\Soldier37.dbr</v>
      </c>
      <c r="T39" t="str">
        <f t="shared" si="10"/>
        <v>echo augmentSkillLevel1,5, &gt;&gt; .\items\materia\class0001\Soldier37.dbr</v>
      </c>
      <c r="U39" t="str">
        <f t="shared" si="11"/>
        <v>echo augmentSkillName1,records/skills/playerclass01/passive1.dbr, &gt;&gt; .\items\materia\class0001\Soldier37.dbr</v>
      </c>
      <c r="V39" s="5" t="s">
        <v>39</v>
      </c>
      <c r="W39" t="str">
        <f t="shared" si="12"/>
        <v>echo lootName37,DAIL/items/materia/class0001/Soldier37.dbr, &gt;&gt; .\items\loottables\dailoneskill0001.dbr</v>
      </c>
      <c r="X39" t="str">
        <f t="shared" si="13"/>
        <v>echo lootWeight37,1, &gt;&gt; .\items\loottables\dailoneskill0001.dbr</v>
      </c>
      <c r="Y39" s="5" t="s">
        <v>39</v>
      </c>
      <c r="Z39" t="str">
        <f t="shared" si="14"/>
        <v xml:space="preserve"> echo dailCompDescSoldier37=Soldier's Gift of DAIL &gt;&gt; ..\source\text_en\DAILtags_gen.txt</v>
      </c>
      <c r="AA39" t="str">
        <f t="shared" si="15"/>
        <v>echo dailCompTextSoldier37=Soldier's Gift of DAIL &gt;&gt; ..\source\text_en\DAILtags_gen.txt</v>
      </c>
      <c r="AB39" s="5" t="s">
        <v>39</v>
      </c>
    </row>
    <row r="40" spans="1:28" x14ac:dyDescent="0.25">
      <c r="A40" s="5" t="s">
        <v>42</v>
      </c>
      <c r="B40" s="5" t="s">
        <v>33</v>
      </c>
      <c r="C40" s="5" t="str">
        <f t="shared" si="23"/>
        <v>description,dailCompDescSoldier38,</v>
      </c>
      <c r="D40" s="5" t="str">
        <f t="shared" si="24"/>
        <v>itemText,dailCompTextSoldier38,</v>
      </c>
      <c r="E40" s="5" t="s">
        <v>32</v>
      </c>
      <c r="F40" s="5" t="str">
        <f t="shared" si="25"/>
        <v>augmentSkillName1,records/skills/playerclass01/passiveshield.dbr,</v>
      </c>
      <c r="G40" s="7">
        <f t="shared" si="16"/>
        <v>38</v>
      </c>
      <c r="H40" s="8" t="str">
        <f t="shared" si="17"/>
        <v>Soldier</v>
      </c>
      <c r="I40" s="3" t="s">
        <v>19</v>
      </c>
      <c r="J40" s="8" t="str">
        <f t="shared" si="18"/>
        <v>class0001</v>
      </c>
      <c r="K40" s="8" t="str">
        <f t="shared" si="18"/>
        <v>dailoneskill0001</v>
      </c>
      <c r="L40" s="5" t="str">
        <f t="shared" si="4"/>
        <v>lootName38,DAIL/items/materia/class0001/Soldier38.dbr,</v>
      </c>
      <c r="M40" s="5" t="str">
        <f t="shared" si="5"/>
        <v>lootWeight38,1,</v>
      </c>
      <c r="O40" t="str">
        <f t="shared" si="19"/>
        <v>copy .\dail_base.dbr .\items\materia\class0001\Soldier38.dbr /y</v>
      </c>
      <c r="P40" t="str">
        <f t="shared" si="6"/>
        <v>echo relicBitmap,items/craftingparts/components/component_a52_bristlyfur_b.tex, &gt;&gt; .\items\materia\class0001\Soldier38.dbr</v>
      </c>
      <c r="Q40" t="str">
        <f t="shared" si="7"/>
        <v>echo itemCost,500000, &gt;&gt; .\items\materia\class0001\Soldier38.dbr</v>
      </c>
      <c r="R40" t="str">
        <f t="shared" si="8"/>
        <v>echo description,dailCompDescSoldier38, &gt;&gt; .\items\materia\class0001\Soldier38.dbr</v>
      </c>
      <c r="S40" t="str">
        <f t="shared" si="9"/>
        <v>echo itemText,dailCompTextSoldier38, &gt;&gt; .\items\materia\class0001\Soldier38.dbr</v>
      </c>
      <c r="T40" t="str">
        <f t="shared" si="10"/>
        <v>echo augmentSkillLevel1,5, &gt;&gt; .\items\materia\class0001\Soldier38.dbr</v>
      </c>
      <c r="U40" t="str">
        <f t="shared" si="11"/>
        <v>echo augmentSkillName1,records/skills/playerclass01/passiveshield.dbr, &gt;&gt; .\items\materia\class0001\Soldier38.dbr</v>
      </c>
      <c r="V40" s="5" t="s">
        <v>39</v>
      </c>
      <c r="W40" t="str">
        <f t="shared" si="12"/>
        <v>echo lootName38,DAIL/items/materia/class0001/Soldier38.dbr, &gt;&gt; .\items\loottables\dailoneskill0001.dbr</v>
      </c>
      <c r="X40" t="str">
        <f t="shared" si="13"/>
        <v>echo lootWeight38,1, &gt;&gt; .\items\loottables\dailoneskill0001.dbr</v>
      </c>
      <c r="Y40" s="5" t="s">
        <v>39</v>
      </c>
      <c r="Z40" t="str">
        <f t="shared" si="14"/>
        <v xml:space="preserve"> echo dailCompDescSoldier38=Soldier's Gift of DAIL &gt;&gt; ..\source\text_en\DAILtags_gen.txt</v>
      </c>
      <c r="AA40" t="str">
        <f t="shared" si="15"/>
        <v>echo dailCompTextSoldier38=Soldier's Gift of DAIL &gt;&gt; ..\source\text_en\DAILtags_gen.txt</v>
      </c>
      <c r="AB40" s="5" t="s">
        <v>39</v>
      </c>
    </row>
    <row r="41" spans="1:28" x14ac:dyDescent="0.25">
      <c r="A41" s="5" t="s">
        <v>42</v>
      </c>
      <c r="B41" s="5" t="s">
        <v>33</v>
      </c>
      <c r="C41" s="5" t="str">
        <f t="shared" si="23"/>
        <v>description,dailCompDescSoldier39,</v>
      </c>
      <c r="D41" s="5" t="str">
        <f t="shared" si="24"/>
        <v>itemText,dailCompTextSoldier39,</v>
      </c>
      <c r="E41" s="5" t="s">
        <v>32</v>
      </c>
      <c r="F41" s="5" t="str">
        <f t="shared" si="25"/>
        <v>augmentSkillName1,records/skills/playerclass01/shieldhammer1.dbr,</v>
      </c>
      <c r="G41" s="7">
        <f t="shared" si="16"/>
        <v>39</v>
      </c>
      <c r="H41" s="8" t="str">
        <f t="shared" si="17"/>
        <v>Soldier</v>
      </c>
      <c r="I41" s="3" t="s">
        <v>20</v>
      </c>
      <c r="J41" s="8" t="str">
        <f t="shared" si="18"/>
        <v>class0001</v>
      </c>
      <c r="K41" s="8" t="str">
        <f t="shared" si="18"/>
        <v>dailoneskill0001</v>
      </c>
      <c r="L41" s="5" t="str">
        <f t="shared" si="4"/>
        <v>lootName39,DAIL/items/materia/class0001/Soldier39.dbr,</v>
      </c>
      <c r="M41" s="5" t="str">
        <f t="shared" si="5"/>
        <v>lootWeight39,1,</v>
      </c>
      <c r="O41" t="str">
        <f t="shared" si="19"/>
        <v>copy .\dail_base.dbr .\items\materia\class0001\Soldier39.dbr /y</v>
      </c>
      <c r="P41" t="str">
        <f t="shared" si="6"/>
        <v>echo relicBitmap,items/craftingparts/components/component_a52_bristlyfur_b.tex, &gt;&gt; .\items\materia\class0001\Soldier39.dbr</v>
      </c>
      <c r="Q41" t="str">
        <f t="shared" si="7"/>
        <v>echo itemCost,500000, &gt;&gt; .\items\materia\class0001\Soldier39.dbr</v>
      </c>
      <c r="R41" t="str">
        <f t="shared" si="8"/>
        <v>echo description,dailCompDescSoldier39, &gt;&gt; .\items\materia\class0001\Soldier39.dbr</v>
      </c>
      <c r="S41" t="str">
        <f t="shared" si="9"/>
        <v>echo itemText,dailCompTextSoldier39, &gt;&gt; .\items\materia\class0001\Soldier39.dbr</v>
      </c>
      <c r="T41" t="str">
        <f t="shared" si="10"/>
        <v>echo augmentSkillLevel1,5, &gt;&gt; .\items\materia\class0001\Soldier39.dbr</v>
      </c>
      <c r="U41" t="str">
        <f t="shared" si="11"/>
        <v>echo augmentSkillName1,records/skills/playerclass01/shieldhammer1.dbr, &gt;&gt; .\items\materia\class0001\Soldier39.dbr</v>
      </c>
      <c r="V41" s="5" t="s">
        <v>39</v>
      </c>
      <c r="W41" t="str">
        <f t="shared" si="12"/>
        <v>echo lootName39,DAIL/items/materia/class0001/Soldier39.dbr, &gt;&gt; .\items\loottables\dailoneskill0001.dbr</v>
      </c>
      <c r="X41" t="str">
        <f t="shared" si="13"/>
        <v>echo lootWeight39,1, &gt;&gt; .\items\loottables\dailoneskill0001.dbr</v>
      </c>
      <c r="Y41" s="5" t="s">
        <v>39</v>
      </c>
      <c r="Z41" t="str">
        <f t="shared" si="14"/>
        <v xml:space="preserve"> echo dailCompDescSoldier39=Soldier's Gift of DAIL &gt;&gt; ..\source\text_en\DAILtags_gen.txt</v>
      </c>
      <c r="AA41" t="str">
        <f t="shared" si="15"/>
        <v>echo dailCompTextSoldier39=Soldier's Gift of DAIL &gt;&gt; ..\source\text_en\DAILtags_gen.txt</v>
      </c>
      <c r="AB41" s="5" t="s">
        <v>39</v>
      </c>
    </row>
    <row r="42" spans="1:28" x14ac:dyDescent="0.25">
      <c r="A42" s="5" t="s">
        <v>42</v>
      </c>
      <c r="B42" s="5" t="s">
        <v>33</v>
      </c>
      <c r="C42" s="5" t="str">
        <f t="shared" si="23"/>
        <v>description,dailCompDescSoldier40,</v>
      </c>
      <c r="D42" s="5" t="str">
        <f t="shared" si="24"/>
        <v>itemText,dailCompTextSoldier40,</v>
      </c>
      <c r="E42" s="5" t="s">
        <v>32</v>
      </c>
      <c r="F42" s="5" t="str">
        <f t="shared" si="25"/>
        <v>augmentSkillName1,records/skills/playerclass01/stancedefensive.dbr,</v>
      </c>
      <c r="G42" s="7">
        <f t="shared" si="16"/>
        <v>40</v>
      </c>
      <c r="H42" s="8" t="str">
        <f t="shared" si="17"/>
        <v>Soldier</v>
      </c>
      <c r="I42" s="3" t="s">
        <v>21</v>
      </c>
      <c r="J42" s="8" t="str">
        <f t="shared" si="18"/>
        <v>class0001</v>
      </c>
      <c r="K42" s="8" t="str">
        <f t="shared" si="18"/>
        <v>dailoneskill0001</v>
      </c>
      <c r="L42" s="5" t="str">
        <f t="shared" si="4"/>
        <v>lootName40,DAIL/items/materia/class0001/Soldier40.dbr,</v>
      </c>
      <c r="M42" s="5" t="str">
        <f t="shared" si="5"/>
        <v>lootWeight40,1,</v>
      </c>
      <c r="O42" t="str">
        <f t="shared" si="19"/>
        <v>copy .\dail_base.dbr .\items\materia\class0001\Soldier40.dbr /y</v>
      </c>
      <c r="P42" t="str">
        <f t="shared" si="6"/>
        <v>echo relicBitmap,items/craftingparts/components/component_a52_bristlyfur_b.tex, &gt;&gt; .\items\materia\class0001\Soldier40.dbr</v>
      </c>
      <c r="Q42" t="str">
        <f t="shared" si="7"/>
        <v>echo itemCost,500000, &gt;&gt; .\items\materia\class0001\Soldier40.dbr</v>
      </c>
      <c r="R42" t="str">
        <f t="shared" si="8"/>
        <v>echo description,dailCompDescSoldier40, &gt;&gt; .\items\materia\class0001\Soldier40.dbr</v>
      </c>
      <c r="S42" t="str">
        <f t="shared" si="9"/>
        <v>echo itemText,dailCompTextSoldier40, &gt;&gt; .\items\materia\class0001\Soldier40.dbr</v>
      </c>
      <c r="T42" t="str">
        <f t="shared" si="10"/>
        <v>echo augmentSkillLevel1,5, &gt;&gt; .\items\materia\class0001\Soldier40.dbr</v>
      </c>
      <c r="U42" t="str">
        <f t="shared" si="11"/>
        <v>echo augmentSkillName1,records/skills/playerclass01/stancedefensive.dbr, &gt;&gt; .\items\materia\class0001\Soldier40.dbr</v>
      </c>
      <c r="V42" s="5" t="s">
        <v>39</v>
      </c>
      <c r="W42" t="str">
        <f t="shared" si="12"/>
        <v>echo lootName40,DAIL/items/materia/class0001/Soldier40.dbr, &gt;&gt; .\items\loottables\dailoneskill0001.dbr</v>
      </c>
      <c r="X42" t="str">
        <f t="shared" si="13"/>
        <v>echo lootWeight40,1, &gt;&gt; .\items\loottables\dailoneskill0001.dbr</v>
      </c>
      <c r="Y42" s="5" t="s">
        <v>39</v>
      </c>
      <c r="Z42" t="str">
        <f t="shared" si="14"/>
        <v xml:space="preserve"> echo dailCompDescSoldier40=Soldier's Gift of DAIL &gt;&gt; ..\source\text_en\DAILtags_gen.txt</v>
      </c>
      <c r="AA42" t="str">
        <f t="shared" si="15"/>
        <v>echo dailCompTextSoldier40=Soldier's Gift of DAIL &gt;&gt; ..\source\text_en\DAILtags_gen.txt</v>
      </c>
      <c r="AB42" s="5" t="s">
        <v>39</v>
      </c>
    </row>
    <row r="43" spans="1:28" x14ac:dyDescent="0.25">
      <c r="A43" s="5" t="s">
        <v>42</v>
      </c>
      <c r="B43" s="5" t="s">
        <v>33</v>
      </c>
      <c r="C43" s="5" t="str">
        <f t="shared" si="23"/>
        <v>description,dailCompDescSoldier41,</v>
      </c>
      <c r="D43" s="5" t="str">
        <f t="shared" si="24"/>
        <v>itemText,dailCompTextSoldier41,</v>
      </c>
      <c r="E43" s="5" t="s">
        <v>32</v>
      </c>
      <c r="F43" s="5" t="str">
        <f t="shared" si="25"/>
        <v>augmentSkillName1,records/skills/playerclass01/stanceoffensive.dbr,</v>
      </c>
      <c r="G43" s="7">
        <f t="shared" si="16"/>
        <v>41</v>
      </c>
      <c r="H43" s="8" t="str">
        <f t="shared" si="17"/>
        <v>Soldier</v>
      </c>
      <c r="I43" s="3" t="s">
        <v>22</v>
      </c>
      <c r="J43" s="8" t="str">
        <f t="shared" si="18"/>
        <v>class0001</v>
      </c>
      <c r="K43" s="8" t="str">
        <f t="shared" si="18"/>
        <v>dailoneskill0001</v>
      </c>
      <c r="L43" s="5" t="str">
        <f t="shared" si="4"/>
        <v>lootName41,DAIL/items/materia/class0001/Soldier41.dbr,</v>
      </c>
      <c r="M43" s="5" t="str">
        <f t="shared" si="5"/>
        <v>lootWeight41,1,</v>
      </c>
      <c r="O43" t="str">
        <f t="shared" si="19"/>
        <v>copy .\dail_base.dbr .\items\materia\class0001\Soldier41.dbr /y</v>
      </c>
      <c r="P43" t="str">
        <f t="shared" si="6"/>
        <v>echo relicBitmap,items/craftingparts/components/component_a52_bristlyfur_b.tex, &gt;&gt; .\items\materia\class0001\Soldier41.dbr</v>
      </c>
      <c r="Q43" t="str">
        <f t="shared" si="7"/>
        <v>echo itemCost,500000, &gt;&gt; .\items\materia\class0001\Soldier41.dbr</v>
      </c>
      <c r="R43" t="str">
        <f t="shared" si="8"/>
        <v>echo description,dailCompDescSoldier41, &gt;&gt; .\items\materia\class0001\Soldier41.dbr</v>
      </c>
      <c r="S43" t="str">
        <f t="shared" si="9"/>
        <v>echo itemText,dailCompTextSoldier41, &gt;&gt; .\items\materia\class0001\Soldier41.dbr</v>
      </c>
      <c r="T43" t="str">
        <f t="shared" si="10"/>
        <v>echo augmentSkillLevel1,5, &gt;&gt; .\items\materia\class0001\Soldier41.dbr</v>
      </c>
      <c r="U43" t="str">
        <f t="shared" si="11"/>
        <v>echo augmentSkillName1,records/skills/playerclass01/stanceoffensive.dbr, &gt;&gt; .\items\materia\class0001\Soldier41.dbr</v>
      </c>
      <c r="V43" s="5" t="s">
        <v>39</v>
      </c>
      <c r="W43" t="str">
        <f t="shared" si="12"/>
        <v>echo lootName41,DAIL/items/materia/class0001/Soldier41.dbr, &gt;&gt; .\items\loottables\dailoneskill0001.dbr</v>
      </c>
      <c r="X43" t="str">
        <f t="shared" si="13"/>
        <v>echo lootWeight41,1, &gt;&gt; .\items\loottables\dailoneskill0001.dbr</v>
      </c>
      <c r="Y43" s="5" t="s">
        <v>39</v>
      </c>
      <c r="Z43" t="str">
        <f t="shared" si="14"/>
        <v xml:space="preserve"> echo dailCompDescSoldier41=Soldier's Gift of DAIL &gt;&gt; ..\source\text_en\DAILtags_gen.txt</v>
      </c>
      <c r="AA43" t="str">
        <f t="shared" si="15"/>
        <v>echo dailCompTextSoldier41=Soldier's Gift of DAIL &gt;&gt; ..\source\text_en\DAILtags_gen.txt</v>
      </c>
      <c r="AB43" s="5" t="s">
        <v>39</v>
      </c>
    </row>
    <row r="44" spans="1:28" x14ac:dyDescent="0.25">
      <c r="A44" s="5" t="s">
        <v>42</v>
      </c>
      <c r="B44" s="5" t="s">
        <v>33</v>
      </c>
      <c r="C44" s="5" t="str">
        <f t="shared" si="23"/>
        <v>description,dailCompDescSoldier42,</v>
      </c>
      <c r="D44" s="5" t="str">
        <f t="shared" si="24"/>
        <v>itemText,dailCompTextSoldier42,</v>
      </c>
      <c r="E44" s="5" t="s">
        <v>32</v>
      </c>
      <c r="F44" s="5" t="str">
        <f t="shared" si="25"/>
        <v>augmentSkillName1,records/skills/playerclass01/warcry1.dbr,</v>
      </c>
      <c r="G44" s="7">
        <f t="shared" si="16"/>
        <v>42</v>
      </c>
      <c r="H44" s="8" t="str">
        <f t="shared" si="17"/>
        <v>Soldier</v>
      </c>
      <c r="I44" s="3" t="s">
        <v>23</v>
      </c>
      <c r="J44" s="8" t="str">
        <f t="shared" si="18"/>
        <v>class0001</v>
      </c>
      <c r="K44" s="8" t="str">
        <f t="shared" si="18"/>
        <v>dailoneskill0001</v>
      </c>
      <c r="L44" s="5" t="str">
        <f t="shared" si="4"/>
        <v>lootName42,DAIL/items/materia/class0001/Soldier42.dbr,</v>
      </c>
      <c r="M44" s="5" t="str">
        <f t="shared" si="5"/>
        <v>lootWeight42,1,</v>
      </c>
      <c r="O44" t="str">
        <f t="shared" si="19"/>
        <v>copy .\dail_base.dbr .\items\materia\class0001\Soldier42.dbr /y</v>
      </c>
      <c r="P44" t="str">
        <f t="shared" si="6"/>
        <v>echo relicBitmap,items/craftingparts/components/component_a52_bristlyfur_b.tex, &gt;&gt; .\items\materia\class0001\Soldier42.dbr</v>
      </c>
      <c r="Q44" t="str">
        <f t="shared" si="7"/>
        <v>echo itemCost,500000, &gt;&gt; .\items\materia\class0001\Soldier42.dbr</v>
      </c>
      <c r="R44" t="str">
        <f t="shared" si="8"/>
        <v>echo description,dailCompDescSoldier42, &gt;&gt; .\items\materia\class0001\Soldier42.dbr</v>
      </c>
      <c r="S44" t="str">
        <f t="shared" si="9"/>
        <v>echo itemText,dailCompTextSoldier42, &gt;&gt; .\items\materia\class0001\Soldier42.dbr</v>
      </c>
      <c r="T44" t="str">
        <f t="shared" si="10"/>
        <v>echo augmentSkillLevel1,5, &gt;&gt; .\items\materia\class0001\Soldier42.dbr</v>
      </c>
      <c r="U44" t="str">
        <f t="shared" si="11"/>
        <v>echo augmentSkillName1,records/skills/playerclass01/warcry1.dbr, &gt;&gt; .\items\materia\class0001\Soldier42.dbr</v>
      </c>
      <c r="V44" s="5" t="s">
        <v>39</v>
      </c>
      <c r="W44" t="str">
        <f t="shared" si="12"/>
        <v>echo lootName42,DAIL/items/materia/class0001/Soldier42.dbr, &gt;&gt; .\items\loottables\dailoneskill0001.dbr</v>
      </c>
      <c r="X44" t="str">
        <f t="shared" si="13"/>
        <v>echo lootWeight42,1, &gt;&gt; .\items\loottables\dailoneskill0001.dbr</v>
      </c>
      <c r="Y44" s="5" t="s">
        <v>39</v>
      </c>
      <c r="Z44" t="str">
        <f t="shared" si="14"/>
        <v xml:space="preserve"> echo dailCompDescSoldier42=Soldier's Gift of DAIL &gt;&gt; ..\source\text_en\DAILtags_gen.txt</v>
      </c>
      <c r="AA44" t="str">
        <f t="shared" si="15"/>
        <v>echo dailCompTextSoldier42=Soldier's Gift of DAIL &gt;&gt; ..\source\text_en\DAILtags_gen.txt</v>
      </c>
      <c r="AB44" s="5" t="s">
        <v>39</v>
      </c>
    </row>
    <row r="45" spans="1:28" x14ac:dyDescent="0.25">
      <c r="A45" s="5" t="s">
        <v>42</v>
      </c>
      <c r="B45" s="5" t="s">
        <v>33</v>
      </c>
      <c r="C45" s="5" t="str">
        <f t="shared" ref="C45:C102" si="26">"description,dailCompDesc"&amp;H45&amp;G45&amp;","</f>
        <v>description,dailCompDescSoldier,</v>
      </c>
      <c r="D45" s="5" t="str">
        <f t="shared" ref="D45:D102" si="27">"itemText,dailCompText"&amp;H45&amp;G45&amp;","</f>
        <v>itemText,dailCompTextSoldier,</v>
      </c>
      <c r="E45" s="5" t="s">
        <v>32</v>
      </c>
      <c r="F45" s="5" t="str">
        <f t="shared" ref="F45:F102" si="28">"augmentSkillName1,records/skills"&amp;I45&amp;","</f>
        <v>augmentSkillName1,records/skills,</v>
      </c>
      <c r="G45" s="7" t="str">
        <f t="shared" si="16"/>
        <v/>
      </c>
      <c r="H45" s="8" t="str">
        <f t="shared" si="17"/>
        <v>Soldier</v>
      </c>
      <c r="J45" s="8" t="str">
        <f t="shared" si="18"/>
        <v>class0001</v>
      </c>
      <c r="K45" s="8" t="str">
        <f t="shared" si="18"/>
        <v>dailoneskill0001</v>
      </c>
      <c r="L45" s="5" t="str">
        <f t="shared" si="4"/>
        <v>lootName,DAIL/items/materia/class0001/Soldier.dbr,</v>
      </c>
      <c r="M45" s="5" t="str">
        <f t="shared" si="5"/>
        <v>lootWeight,1,</v>
      </c>
      <c r="O45" t="str">
        <f t="shared" si="19"/>
        <v/>
      </c>
      <c r="P45" t="str">
        <f t="shared" si="6"/>
        <v/>
      </c>
      <c r="Q45" t="str">
        <f t="shared" si="7"/>
        <v/>
      </c>
      <c r="R45" t="str">
        <f t="shared" si="8"/>
        <v/>
      </c>
      <c r="S45" t="str">
        <f t="shared" si="9"/>
        <v/>
      </c>
      <c r="T45" t="str">
        <f t="shared" si="10"/>
        <v/>
      </c>
      <c r="U45" t="str">
        <f t="shared" si="11"/>
        <v/>
      </c>
      <c r="V45" s="5" t="s">
        <v>39</v>
      </c>
      <c r="W45" t="str">
        <f t="shared" si="12"/>
        <v/>
      </c>
      <c r="X45" t="str">
        <f t="shared" si="13"/>
        <v/>
      </c>
      <c r="Y45" s="5" t="s">
        <v>39</v>
      </c>
      <c r="Z45" t="str">
        <f t="shared" si="14"/>
        <v xml:space="preserve"> echo dailCompDescSoldier=Soldier's Gift of DAIL &gt;&gt; ..\source\text_en\DAILtags_gen.txt</v>
      </c>
      <c r="AA45" t="str">
        <f t="shared" si="15"/>
        <v>echo dailCompTextSoldier=Soldier's Gift of DAIL &gt;&gt; ..\source\text_en\DAILtags_gen.txt</v>
      </c>
      <c r="AB45" s="5" t="s">
        <v>39</v>
      </c>
    </row>
    <row r="46" spans="1:28" x14ac:dyDescent="0.25">
      <c r="A46" s="5" t="s">
        <v>42</v>
      </c>
      <c r="B46" s="5" t="s">
        <v>33</v>
      </c>
      <c r="C46" s="5" t="str">
        <f t="shared" si="26"/>
        <v>description,dailCompDescSoldier,</v>
      </c>
      <c r="D46" s="5" t="str">
        <f t="shared" si="27"/>
        <v>itemText,dailCompTextSoldier,</v>
      </c>
      <c r="E46" s="5" t="s">
        <v>32</v>
      </c>
      <c r="F46" s="5" t="str">
        <f t="shared" si="28"/>
        <v>augmentSkillName1,records/skills,</v>
      </c>
      <c r="G46" s="7" t="str">
        <f t="shared" si="16"/>
        <v/>
      </c>
      <c r="H46" s="8" t="str">
        <f t="shared" si="17"/>
        <v>Soldier</v>
      </c>
      <c r="J46" s="8" t="str">
        <f t="shared" si="18"/>
        <v>class0001</v>
      </c>
      <c r="K46" s="8" t="str">
        <f t="shared" si="18"/>
        <v>dailoneskill0001</v>
      </c>
      <c r="L46" s="5" t="str">
        <f t="shared" si="4"/>
        <v>lootName,DAIL/items/materia/class0001/Soldier.dbr,</v>
      </c>
      <c r="M46" s="5" t="str">
        <f t="shared" si="5"/>
        <v>lootWeight,1,</v>
      </c>
      <c r="O46" t="str">
        <f t="shared" si="19"/>
        <v/>
      </c>
      <c r="P46" t="str">
        <f t="shared" si="6"/>
        <v/>
      </c>
      <c r="Q46" t="str">
        <f t="shared" si="7"/>
        <v/>
      </c>
      <c r="R46" t="str">
        <f t="shared" si="8"/>
        <v/>
      </c>
      <c r="S46" t="str">
        <f t="shared" si="9"/>
        <v/>
      </c>
      <c r="T46" t="str">
        <f t="shared" si="10"/>
        <v/>
      </c>
      <c r="U46" t="str">
        <f t="shared" si="11"/>
        <v/>
      </c>
      <c r="V46" s="5" t="s">
        <v>39</v>
      </c>
      <c r="W46" t="str">
        <f t="shared" si="12"/>
        <v/>
      </c>
      <c r="X46" t="str">
        <f t="shared" si="13"/>
        <v/>
      </c>
      <c r="Y46" s="5" t="s">
        <v>39</v>
      </c>
      <c r="Z46" t="str">
        <f t="shared" si="14"/>
        <v/>
      </c>
      <c r="AA46" t="str">
        <f t="shared" si="15"/>
        <v/>
      </c>
      <c r="AB46" s="5" t="s">
        <v>39</v>
      </c>
    </row>
    <row r="47" spans="1:28" x14ac:dyDescent="0.25">
      <c r="A47" s="5" t="s">
        <v>42</v>
      </c>
      <c r="B47" s="5" t="s">
        <v>33</v>
      </c>
      <c r="C47" s="5" t="str">
        <f t="shared" si="26"/>
        <v>description,dailCompDescSoldier,</v>
      </c>
      <c r="D47" s="5" t="str">
        <f t="shared" si="27"/>
        <v>itemText,dailCompTextSoldier,</v>
      </c>
      <c r="E47" s="5" t="s">
        <v>32</v>
      </c>
      <c r="F47" s="5" t="str">
        <f t="shared" si="28"/>
        <v>augmentSkillName1,records/skills,</v>
      </c>
      <c r="G47" s="7" t="str">
        <f t="shared" si="16"/>
        <v/>
      </c>
      <c r="H47" s="8" t="str">
        <f t="shared" si="17"/>
        <v>Soldier</v>
      </c>
      <c r="J47" s="8" t="str">
        <f t="shared" si="18"/>
        <v>class0001</v>
      </c>
      <c r="K47" s="8" t="str">
        <f t="shared" si="18"/>
        <v>dailoneskill0001</v>
      </c>
      <c r="L47" s="5" t="str">
        <f t="shared" si="4"/>
        <v>lootName,DAIL/items/materia/class0001/Soldier.dbr,</v>
      </c>
      <c r="M47" s="5" t="str">
        <f t="shared" si="5"/>
        <v>lootWeight,1,</v>
      </c>
      <c r="O47" t="str">
        <f t="shared" si="19"/>
        <v/>
      </c>
      <c r="P47" t="str">
        <f t="shared" si="6"/>
        <v/>
      </c>
      <c r="Q47" t="str">
        <f t="shared" si="7"/>
        <v/>
      </c>
      <c r="R47" t="str">
        <f t="shared" si="8"/>
        <v/>
      </c>
      <c r="S47" t="str">
        <f t="shared" si="9"/>
        <v/>
      </c>
      <c r="T47" t="str">
        <f t="shared" si="10"/>
        <v/>
      </c>
      <c r="U47" t="str">
        <f t="shared" si="11"/>
        <v/>
      </c>
      <c r="V47" s="5" t="s">
        <v>39</v>
      </c>
      <c r="W47" t="str">
        <f t="shared" si="12"/>
        <v/>
      </c>
      <c r="X47" t="str">
        <f t="shared" si="13"/>
        <v/>
      </c>
      <c r="Y47" s="5" t="s">
        <v>39</v>
      </c>
      <c r="Z47" t="str">
        <f t="shared" si="14"/>
        <v/>
      </c>
      <c r="AA47" t="str">
        <f t="shared" si="15"/>
        <v/>
      </c>
      <c r="AB47" s="5" t="s">
        <v>39</v>
      </c>
    </row>
    <row r="48" spans="1:28" x14ac:dyDescent="0.25">
      <c r="A48" s="5" t="s">
        <v>42</v>
      </c>
      <c r="B48" s="5" t="s">
        <v>33</v>
      </c>
      <c r="C48" s="5" t="str">
        <f t="shared" si="26"/>
        <v>description,dailCompDescSoldier,</v>
      </c>
      <c r="D48" s="5" t="str">
        <f t="shared" si="27"/>
        <v>itemText,dailCompTextSoldier,</v>
      </c>
      <c r="E48" s="5" t="s">
        <v>32</v>
      </c>
      <c r="F48" s="5" t="str">
        <f t="shared" si="28"/>
        <v>augmentSkillName1,records/skills,</v>
      </c>
      <c r="G48" s="7" t="str">
        <f t="shared" si="16"/>
        <v/>
      </c>
      <c r="H48" s="8" t="str">
        <f t="shared" si="17"/>
        <v>Soldier</v>
      </c>
      <c r="J48" s="8" t="str">
        <f t="shared" si="18"/>
        <v>class0001</v>
      </c>
      <c r="K48" s="8" t="str">
        <f t="shared" si="18"/>
        <v>dailoneskill0001</v>
      </c>
      <c r="L48" s="5" t="str">
        <f t="shared" si="4"/>
        <v>lootName,DAIL/items/materia/class0001/Soldier.dbr,</v>
      </c>
      <c r="M48" s="5" t="str">
        <f t="shared" si="5"/>
        <v>lootWeight,1,</v>
      </c>
      <c r="O48" t="str">
        <f t="shared" si="19"/>
        <v/>
      </c>
      <c r="P48" t="str">
        <f t="shared" si="6"/>
        <v/>
      </c>
      <c r="Q48" t="str">
        <f t="shared" si="7"/>
        <v/>
      </c>
      <c r="R48" t="str">
        <f t="shared" si="8"/>
        <v/>
      </c>
      <c r="S48" t="str">
        <f t="shared" si="9"/>
        <v/>
      </c>
      <c r="T48" t="str">
        <f t="shared" si="10"/>
        <v/>
      </c>
      <c r="U48" t="str">
        <f t="shared" si="11"/>
        <v/>
      </c>
      <c r="V48" s="5" t="s">
        <v>39</v>
      </c>
      <c r="W48" t="str">
        <f t="shared" si="12"/>
        <v/>
      </c>
      <c r="X48" t="str">
        <f t="shared" si="13"/>
        <v/>
      </c>
      <c r="Y48" s="5" t="s">
        <v>39</v>
      </c>
      <c r="Z48" t="str">
        <f t="shared" si="14"/>
        <v/>
      </c>
      <c r="AA48" t="str">
        <f t="shared" si="15"/>
        <v/>
      </c>
      <c r="AB48" s="5" t="s">
        <v>39</v>
      </c>
    </row>
    <row r="49" spans="1:28" x14ac:dyDescent="0.25">
      <c r="A49" s="5" t="s">
        <v>42</v>
      </c>
      <c r="B49" s="5" t="s">
        <v>33</v>
      </c>
      <c r="C49" s="5" t="str">
        <f t="shared" si="26"/>
        <v>description,dailCompDescSoldier,</v>
      </c>
      <c r="D49" s="5" t="str">
        <f t="shared" si="27"/>
        <v>itemText,dailCompTextSoldier,</v>
      </c>
      <c r="E49" s="5" t="s">
        <v>32</v>
      </c>
      <c r="F49" s="5" t="str">
        <f t="shared" si="28"/>
        <v>augmentSkillName1,records/skills,</v>
      </c>
      <c r="G49" s="7" t="str">
        <f t="shared" si="16"/>
        <v/>
      </c>
      <c r="H49" s="8" t="str">
        <f t="shared" si="17"/>
        <v>Soldier</v>
      </c>
      <c r="J49" s="8" t="str">
        <f t="shared" si="18"/>
        <v>class0001</v>
      </c>
      <c r="K49" s="8" t="str">
        <f t="shared" si="18"/>
        <v>dailoneskill0001</v>
      </c>
      <c r="L49" s="5" t="str">
        <f t="shared" si="4"/>
        <v>lootName,DAIL/items/materia/class0001/Soldier.dbr,</v>
      </c>
      <c r="M49" s="5" t="str">
        <f t="shared" si="5"/>
        <v>lootWeight,1,</v>
      </c>
      <c r="O49" t="str">
        <f t="shared" si="19"/>
        <v/>
      </c>
      <c r="P49" t="str">
        <f t="shared" si="6"/>
        <v/>
      </c>
      <c r="Q49" t="str">
        <f t="shared" si="7"/>
        <v/>
      </c>
      <c r="R49" t="str">
        <f t="shared" si="8"/>
        <v/>
      </c>
      <c r="S49" t="str">
        <f t="shared" si="9"/>
        <v/>
      </c>
      <c r="T49" t="str">
        <f t="shared" si="10"/>
        <v/>
      </c>
      <c r="U49" t="str">
        <f t="shared" si="11"/>
        <v/>
      </c>
      <c r="V49" s="5" t="s">
        <v>39</v>
      </c>
      <c r="W49" t="str">
        <f t="shared" si="12"/>
        <v/>
      </c>
      <c r="X49" t="str">
        <f t="shared" si="13"/>
        <v/>
      </c>
      <c r="Y49" s="5" t="s">
        <v>39</v>
      </c>
      <c r="Z49" t="str">
        <f t="shared" si="14"/>
        <v/>
      </c>
      <c r="AA49" t="str">
        <f t="shared" si="15"/>
        <v/>
      </c>
      <c r="AB49" s="5" t="s">
        <v>39</v>
      </c>
    </row>
    <row r="50" spans="1:28" x14ac:dyDescent="0.25">
      <c r="A50" s="5" t="s">
        <v>42</v>
      </c>
      <c r="B50" s="5" t="s">
        <v>33</v>
      </c>
      <c r="C50" s="5" t="str">
        <f t="shared" si="26"/>
        <v>description,dailCompDescSoldier,</v>
      </c>
      <c r="D50" s="5" t="str">
        <f t="shared" si="27"/>
        <v>itemText,dailCompTextSoldier,</v>
      </c>
      <c r="E50" s="5" t="s">
        <v>32</v>
      </c>
      <c r="F50" s="5" t="str">
        <f t="shared" si="28"/>
        <v>augmentSkillName1,records/skills,</v>
      </c>
      <c r="G50" s="7" t="str">
        <f t="shared" si="16"/>
        <v/>
      </c>
      <c r="H50" s="8" t="str">
        <f t="shared" si="17"/>
        <v>Soldier</v>
      </c>
      <c r="J50" s="8" t="str">
        <f t="shared" si="18"/>
        <v>class0001</v>
      </c>
      <c r="K50" s="8" t="str">
        <f t="shared" si="18"/>
        <v>dailoneskill0001</v>
      </c>
      <c r="L50" s="5" t="str">
        <f t="shared" si="4"/>
        <v>lootName,DAIL/items/materia/class0001/Soldier.dbr,</v>
      </c>
      <c r="M50" s="5" t="str">
        <f t="shared" si="5"/>
        <v>lootWeight,1,</v>
      </c>
      <c r="O50" t="str">
        <f t="shared" si="19"/>
        <v/>
      </c>
      <c r="P50" t="str">
        <f t="shared" si="6"/>
        <v/>
      </c>
      <c r="Q50" t="str">
        <f t="shared" si="7"/>
        <v/>
      </c>
      <c r="R50" t="str">
        <f t="shared" si="8"/>
        <v/>
      </c>
      <c r="S50" t="str">
        <f t="shared" si="9"/>
        <v/>
      </c>
      <c r="T50" t="str">
        <f t="shared" si="10"/>
        <v/>
      </c>
      <c r="U50" t="str">
        <f t="shared" si="11"/>
        <v/>
      </c>
      <c r="V50" s="5" t="s">
        <v>39</v>
      </c>
      <c r="W50" t="str">
        <f t="shared" si="12"/>
        <v/>
      </c>
      <c r="X50" t="str">
        <f t="shared" si="13"/>
        <v/>
      </c>
      <c r="Y50" s="5" t="s">
        <v>39</v>
      </c>
      <c r="Z50" t="str">
        <f t="shared" si="14"/>
        <v/>
      </c>
      <c r="AA50" t="str">
        <f t="shared" si="15"/>
        <v/>
      </c>
      <c r="AB50" s="5" t="s">
        <v>39</v>
      </c>
    </row>
    <row r="51" spans="1:28" x14ac:dyDescent="0.25">
      <c r="A51" s="5" t="s">
        <v>42</v>
      </c>
      <c r="B51" s="5" t="s">
        <v>33</v>
      </c>
      <c r="C51" s="5" t="str">
        <f t="shared" si="26"/>
        <v>description,dailCompDescSoldier,</v>
      </c>
      <c r="D51" s="5" t="str">
        <f t="shared" si="27"/>
        <v>itemText,dailCompTextSoldier,</v>
      </c>
      <c r="E51" s="5" t="s">
        <v>32</v>
      </c>
      <c r="F51" s="5" t="str">
        <f t="shared" si="28"/>
        <v>augmentSkillName1,records/skills,</v>
      </c>
      <c r="G51" s="7" t="str">
        <f t="shared" si="16"/>
        <v/>
      </c>
      <c r="H51" s="8" t="str">
        <f t="shared" si="17"/>
        <v>Soldier</v>
      </c>
      <c r="J51" s="8" t="str">
        <f t="shared" si="18"/>
        <v>class0001</v>
      </c>
      <c r="K51" s="8" t="str">
        <f t="shared" si="18"/>
        <v>dailoneskill0001</v>
      </c>
      <c r="L51" s="5" t="str">
        <f t="shared" si="4"/>
        <v>lootName,DAIL/items/materia/class0001/Soldier.dbr,</v>
      </c>
      <c r="M51" s="5" t="str">
        <f t="shared" si="5"/>
        <v>lootWeight,1,</v>
      </c>
      <c r="O51" t="str">
        <f t="shared" si="19"/>
        <v/>
      </c>
      <c r="P51" t="str">
        <f t="shared" si="6"/>
        <v/>
      </c>
      <c r="Q51" t="str">
        <f t="shared" si="7"/>
        <v/>
      </c>
      <c r="R51" t="str">
        <f t="shared" si="8"/>
        <v/>
      </c>
      <c r="S51" t="str">
        <f t="shared" si="9"/>
        <v/>
      </c>
      <c r="T51" t="str">
        <f t="shared" si="10"/>
        <v/>
      </c>
      <c r="U51" t="str">
        <f t="shared" si="11"/>
        <v/>
      </c>
      <c r="V51" s="5" t="s">
        <v>39</v>
      </c>
      <c r="W51" t="str">
        <f t="shared" si="12"/>
        <v/>
      </c>
      <c r="X51" t="str">
        <f t="shared" si="13"/>
        <v/>
      </c>
      <c r="Y51" s="5" t="s">
        <v>39</v>
      </c>
      <c r="Z51" t="str">
        <f t="shared" si="14"/>
        <v/>
      </c>
      <c r="AA51" t="str">
        <f t="shared" si="15"/>
        <v/>
      </c>
      <c r="AB51" s="5" t="s">
        <v>39</v>
      </c>
    </row>
    <row r="52" spans="1:28" x14ac:dyDescent="0.25">
      <c r="A52" s="5" t="s">
        <v>42</v>
      </c>
      <c r="B52" s="5" t="s">
        <v>33</v>
      </c>
      <c r="C52" s="5" t="str">
        <f t="shared" si="26"/>
        <v>description,dailCompDescSoldier,</v>
      </c>
      <c r="D52" s="5" t="str">
        <f t="shared" si="27"/>
        <v>itemText,dailCompTextSoldier,</v>
      </c>
      <c r="E52" s="5" t="s">
        <v>32</v>
      </c>
      <c r="F52" s="5" t="str">
        <f t="shared" si="28"/>
        <v>augmentSkillName1,records/skills,</v>
      </c>
      <c r="G52" s="7" t="str">
        <f t="shared" si="16"/>
        <v/>
      </c>
      <c r="H52" s="8" t="str">
        <f t="shared" si="17"/>
        <v>Soldier</v>
      </c>
      <c r="J52" s="8" t="str">
        <f t="shared" si="18"/>
        <v>class0001</v>
      </c>
      <c r="K52" s="8" t="str">
        <f t="shared" si="18"/>
        <v>dailoneskill0001</v>
      </c>
      <c r="L52" s="5" t="str">
        <f t="shared" si="4"/>
        <v>lootName,DAIL/items/materia/class0001/Soldier.dbr,</v>
      </c>
      <c r="M52" s="5" t="str">
        <f t="shared" si="5"/>
        <v>lootWeight,1,</v>
      </c>
      <c r="O52" t="str">
        <f t="shared" si="19"/>
        <v/>
      </c>
      <c r="P52" t="str">
        <f t="shared" si="6"/>
        <v/>
      </c>
      <c r="Q52" t="str">
        <f t="shared" si="7"/>
        <v/>
      </c>
      <c r="R52" t="str">
        <f t="shared" si="8"/>
        <v/>
      </c>
      <c r="S52" t="str">
        <f t="shared" si="9"/>
        <v/>
      </c>
      <c r="T52" t="str">
        <f t="shared" si="10"/>
        <v/>
      </c>
      <c r="U52" t="str">
        <f t="shared" si="11"/>
        <v/>
      </c>
      <c r="V52" s="5" t="s">
        <v>39</v>
      </c>
      <c r="W52" t="str">
        <f t="shared" si="12"/>
        <v/>
      </c>
      <c r="X52" t="str">
        <f t="shared" si="13"/>
        <v/>
      </c>
      <c r="Y52" s="5" t="s">
        <v>39</v>
      </c>
      <c r="Z52" t="str">
        <f t="shared" si="14"/>
        <v/>
      </c>
      <c r="AA52" t="str">
        <f t="shared" si="15"/>
        <v/>
      </c>
      <c r="AB52" s="5" t="s">
        <v>39</v>
      </c>
    </row>
    <row r="53" spans="1:28" x14ac:dyDescent="0.25">
      <c r="A53" s="5" t="s">
        <v>42</v>
      </c>
      <c r="B53" s="5" t="s">
        <v>33</v>
      </c>
      <c r="C53" s="5" t="str">
        <f t="shared" si="26"/>
        <v>description,dailCompDescSoldier,</v>
      </c>
      <c r="D53" s="5" t="str">
        <f t="shared" si="27"/>
        <v>itemText,dailCompTextSoldier,</v>
      </c>
      <c r="E53" s="5" t="s">
        <v>32</v>
      </c>
      <c r="F53" s="5" t="str">
        <f t="shared" si="28"/>
        <v>augmentSkillName1,records/skills,</v>
      </c>
      <c r="G53" s="7" t="str">
        <f t="shared" si="16"/>
        <v/>
      </c>
      <c r="H53" s="8" t="str">
        <f t="shared" si="17"/>
        <v>Soldier</v>
      </c>
      <c r="J53" s="8" t="str">
        <f t="shared" si="18"/>
        <v>class0001</v>
      </c>
      <c r="K53" s="8" t="str">
        <f t="shared" si="18"/>
        <v>dailoneskill0001</v>
      </c>
      <c r="L53" s="5" t="str">
        <f t="shared" si="4"/>
        <v>lootName,DAIL/items/materia/class0001/Soldier.dbr,</v>
      </c>
      <c r="M53" s="5" t="str">
        <f t="shared" si="5"/>
        <v>lootWeight,1,</v>
      </c>
      <c r="O53" t="str">
        <f t="shared" si="19"/>
        <v/>
      </c>
      <c r="P53" t="str">
        <f t="shared" si="6"/>
        <v/>
      </c>
      <c r="Q53" t="str">
        <f t="shared" si="7"/>
        <v/>
      </c>
      <c r="R53" t="str">
        <f t="shared" si="8"/>
        <v/>
      </c>
      <c r="S53" t="str">
        <f t="shared" si="9"/>
        <v/>
      </c>
      <c r="T53" t="str">
        <f t="shared" si="10"/>
        <v/>
      </c>
      <c r="U53" t="str">
        <f t="shared" si="11"/>
        <v/>
      </c>
      <c r="V53" s="5" t="s">
        <v>39</v>
      </c>
      <c r="W53" t="str">
        <f t="shared" si="12"/>
        <v/>
      </c>
      <c r="X53" t="str">
        <f t="shared" si="13"/>
        <v/>
      </c>
      <c r="Y53" s="5" t="s">
        <v>39</v>
      </c>
      <c r="Z53" t="str">
        <f t="shared" si="14"/>
        <v/>
      </c>
      <c r="AA53" t="str">
        <f t="shared" si="15"/>
        <v/>
      </c>
      <c r="AB53" s="5" t="s">
        <v>39</v>
      </c>
    </row>
    <row r="54" spans="1:28" x14ac:dyDescent="0.25">
      <c r="A54" s="5" t="s">
        <v>42</v>
      </c>
      <c r="B54" s="5" t="s">
        <v>33</v>
      </c>
      <c r="C54" s="5" t="str">
        <f t="shared" si="26"/>
        <v>description,dailCompDescSoldier,</v>
      </c>
      <c r="D54" s="5" t="str">
        <f t="shared" si="27"/>
        <v>itemText,dailCompTextSoldier,</v>
      </c>
      <c r="E54" s="5" t="s">
        <v>32</v>
      </c>
      <c r="F54" s="5" t="str">
        <f t="shared" si="28"/>
        <v>augmentSkillName1,records/skills,</v>
      </c>
      <c r="G54" s="7" t="str">
        <f t="shared" si="16"/>
        <v/>
      </c>
      <c r="H54" s="8" t="str">
        <f t="shared" si="17"/>
        <v>Soldier</v>
      </c>
      <c r="J54" s="8" t="str">
        <f t="shared" si="18"/>
        <v>class0001</v>
      </c>
      <c r="K54" s="8" t="str">
        <f t="shared" si="18"/>
        <v>dailoneskill0001</v>
      </c>
      <c r="L54" s="5" t="str">
        <f t="shared" si="4"/>
        <v>lootName,DAIL/items/materia/class0001/Soldier.dbr,</v>
      </c>
      <c r="M54" s="5" t="str">
        <f t="shared" si="5"/>
        <v>lootWeight,1,</v>
      </c>
      <c r="O54" t="str">
        <f t="shared" si="19"/>
        <v/>
      </c>
      <c r="P54" t="str">
        <f t="shared" si="6"/>
        <v/>
      </c>
      <c r="Q54" t="str">
        <f t="shared" si="7"/>
        <v/>
      </c>
      <c r="R54" t="str">
        <f t="shared" si="8"/>
        <v/>
      </c>
      <c r="S54" t="str">
        <f t="shared" si="9"/>
        <v/>
      </c>
      <c r="T54" t="str">
        <f t="shared" si="10"/>
        <v/>
      </c>
      <c r="U54" t="str">
        <f t="shared" si="11"/>
        <v/>
      </c>
      <c r="V54" s="5" t="s">
        <v>39</v>
      </c>
      <c r="W54" t="str">
        <f t="shared" si="12"/>
        <v/>
      </c>
      <c r="X54" t="str">
        <f t="shared" si="13"/>
        <v/>
      </c>
      <c r="Y54" s="5" t="s">
        <v>39</v>
      </c>
      <c r="Z54" t="str">
        <f t="shared" si="14"/>
        <v/>
      </c>
      <c r="AA54" t="str">
        <f t="shared" si="15"/>
        <v/>
      </c>
      <c r="AB54" s="5" t="s">
        <v>39</v>
      </c>
    </row>
    <row r="55" spans="1:28" x14ac:dyDescent="0.25">
      <c r="A55" s="5" t="s">
        <v>42</v>
      </c>
      <c r="B55" s="5" t="s">
        <v>33</v>
      </c>
      <c r="C55" s="5" t="str">
        <f t="shared" si="26"/>
        <v>description,dailCompDescSoldier,</v>
      </c>
      <c r="D55" s="5" t="str">
        <f t="shared" si="27"/>
        <v>itemText,dailCompTextSoldier,</v>
      </c>
      <c r="E55" s="5" t="s">
        <v>32</v>
      </c>
      <c r="F55" s="5" t="str">
        <f t="shared" si="28"/>
        <v>augmentSkillName1,records/skills,</v>
      </c>
      <c r="G55" s="7" t="str">
        <f t="shared" si="16"/>
        <v/>
      </c>
      <c r="H55" s="8" t="str">
        <f t="shared" si="17"/>
        <v>Soldier</v>
      </c>
      <c r="J55" s="8" t="str">
        <f t="shared" si="18"/>
        <v>class0001</v>
      </c>
      <c r="K55" s="8" t="str">
        <f t="shared" si="18"/>
        <v>dailoneskill0001</v>
      </c>
      <c r="L55" s="5" t="str">
        <f t="shared" si="4"/>
        <v>lootName,DAIL/items/materia/class0001/Soldier.dbr,</v>
      </c>
      <c r="M55" s="5" t="str">
        <f t="shared" si="5"/>
        <v>lootWeight,1,</v>
      </c>
      <c r="O55" t="str">
        <f t="shared" si="19"/>
        <v/>
      </c>
      <c r="P55" t="str">
        <f t="shared" si="6"/>
        <v/>
      </c>
      <c r="Q55" t="str">
        <f t="shared" si="7"/>
        <v/>
      </c>
      <c r="R55" t="str">
        <f t="shared" si="8"/>
        <v/>
      </c>
      <c r="S55" t="str">
        <f t="shared" si="9"/>
        <v/>
      </c>
      <c r="T55" t="str">
        <f t="shared" si="10"/>
        <v/>
      </c>
      <c r="U55" t="str">
        <f t="shared" si="11"/>
        <v/>
      </c>
      <c r="V55" s="5" t="s">
        <v>39</v>
      </c>
      <c r="W55" t="str">
        <f t="shared" si="12"/>
        <v/>
      </c>
      <c r="X55" t="str">
        <f t="shared" si="13"/>
        <v/>
      </c>
      <c r="Y55" s="5" t="s">
        <v>39</v>
      </c>
      <c r="Z55" t="str">
        <f t="shared" si="14"/>
        <v/>
      </c>
      <c r="AA55" t="str">
        <f t="shared" si="15"/>
        <v/>
      </c>
      <c r="AB55" s="5" t="s">
        <v>39</v>
      </c>
    </row>
    <row r="56" spans="1:28" x14ac:dyDescent="0.25">
      <c r="A56" s="5" t="s">
        <v>42</v>
      </c>
      <c r="B56" s="5" t="s">
        <v>33</v>
      </c>
      <c r="C56" s="5" t="str">
        <f t="shared" si="26"/>
        <v>description,dailCompDescSoldier,</v>
      </c>
      <c r="D56" s="5" t="str">
        <f t="shared" si="27"/>
        <v>itemText,dailCompTextSoldier,</v>
      </c>
      <c r="E56" s="5" t="s">
        <v>32</v>
      </c>
      <c r="F56" s="5" t="str">
        <f t="shared" si="28"/>
        <v>augmentSkillName1,records/skills,</v>
      </c>
      <c r="G56" s="7" t="str">
        <f t="shared" si="16"/>
        <v/>
      </c>
      <c r="H56" s="8" t="str">
        <f t="shared" si="17"/>
        <v>Soldier</v>
      </c>
      <c r="J56" s="8" t="str">
        <f t="shared" si="18"/>
        <v>class0001</v>
      </c>
      <c r="K56" s="8" t="str">
        <f t="shared" si="18"/>
        <v>dailoneskill0001</v>
      </c>
      <c r="L56" s="5" t="str">
        <f t="shared" si="4"/>
        <v>lootName,DAIL/items/materia/class0001/Soldier.dbr,</v>
      </c>
      <c r="M56" s="5" t="str">
        <f t="shared" si="5"/>
        <v>lootWeight,1,</v>
      </c>
      <c r="O56" t="str">
        <f t="shared" si="19"/>
        <v/>
      </c>
      <c r="P56" t="str">
        <f t="shared" si="6"/>
        <v/>
      </c>
      <c r="Q56" t="str">
        <f t="shared" si="7"/>
        <v/>
      </c>
      <c r="R56" t="str">
        <f t="shared" si="8"/>
        <v/>
      </c>
      <c r="S56" t="str">
        <f t="shared" si="9"/>
        <v/>
      </c>
      <c r="T56" t="str">
        <f t="shared" si="10"/>
        <v/>
      </c>
      <c r="U56" t="str">
        <f t="shared" si="11"/>
        <v/>
      </c>
      <c r="V56" s="5" t="s">
        <v>39</v>
      </c>
      <c r="W56" t="str">
        <f t="shared" si="12"/>
        <v/>
      </c>
      <c r="X56" t="str">
        <f t="shared" si="13"/>
        <v/>
      </c>
      <c r="Y56" s="5" t="s">
        <v>39</v>
      </c>
      <c r="Z56" t="str">
        <f t="shared" si="14"/>
        <v/>
      </c>
      <c r="AA56" t="str">
        <f t="shared" si="15"/>
        <v/>
      </c>
      <c r="AB56" s="5" t="s">
        <v>39</v>
      </c>
    </row>
    <row r="57" spans="1:28" x14ac:dyDescent="0.25">
      <c r="A57" s="5" t="s">
        <v>42</v>
      </c>
      <c r="B57" s="5" t="s">
        <v>33</v>
      </c>
      <c r="C57" s="5" t="str">
        <f t="shared" si="26"/>
        <v>description,dailCompDescSoldier,</v>
      </c>
      <c r="D57" s="5" t="str">
        <f t="shared" si="27"/>
        <v>itemText,dailCompTextSoldier,</v>
      </c>
      <c r="E57" s="5" t="s">
        <v>32</v>
      </c>
      <c r="F57" s="5" t="str">
        <f t="shared" si="28"/>
        <v>augmentSkillName1,records/skills,</v>
      </c>
      <c r="G57" s="7" t="str">
        <f t="shared" si="16"/>
        <v/>
      </c>
      <c r="H57" s="8" t="str">
        <f t="shared" si="17"/>
        <v>Soldier</v>
      </c>
      <c r="J57" s="8" t="str">
        <f t="shared" si="18"/>
        <v>class0001</v>
      </c>
      <c r="K57" s="8" t="str">
        <f t="shared" si="18"/>
        <v>dailoneskill0001</v>
      </c>
      <c r="L57" s="5" t="str">
        <f t="shared" si="4"/>
        <v>lootName,DAIL/items/materia/class0001/Soldier.dbr,</v>
      </c>
      <c r="M57" s="5" t="str">
        <f t="shared" si="5"/>
        <v>lootWeight,1,</v>
      </c>
      <c r="O57" t="str">
        <f t="shared" si="19"/>
        <v/>
      </c>
      <c r="P57" t="str">
        <f t="shared" si="6"/>
        <v/>
      </c>
      <c r="Q57" t="str">
        <f t="shared" si="7"/>
        <v/>
      </c>
      <c r="R57" t="str">
        <f t="shared" si="8"/>
        <v/>
      </c>
      <c r="S57" t="str">
        <f t="shared" si="9"/>
        <v/>
      </c>
      <c r="T57" t="str">
        <f t="shared" si="10"/>
        <v/>
      </c>
      <c r="U57" t="str">
        <f t="shared" si="11"/>
        <v/>
      </c>
      <c r="V57" s="5" t="s">
        <v>39</v>
      </c>
      <c r="W57" t="str">
        <f t="shared" si="12"/>
        <v/>
      </c>
      <c r="X57" t="str">
        <f t="shared" si="13"/>
        <v/>
      </c>
      <c r="Y57" s="5" t="s">
        <v>39</v>
      </c>
      <c r="Z57" t="str">
        <f t="shared" si="14"/>
        <v/>
      </c>
      <c r="AA57" t="str">
        <f t="shared" si="15"/>
        <v/>
      </c>
      <c r="AB57" s="5" t="s">
        <v>39</v>
      </c>
    </row>
    <row r="58" spans="1:28" x14ac:dyDescent="0.25">
      <c r="A58" s="5" t="s">
        <v>42</v>
      </c>
      <c r="B58" s="5" t="s">
        <v>33</v>
      </c>
      <c r="C58" s="5" t="str">
        <f t="shared" si="26"/>
        <v>description,dailCompDescSoldier,</v>
      </c>
      <c r="D58" s="5" t="str">
        <f t="shared" si="27"/>
        <v>itemText,dailCompTextSoldier,</v>
      </c>
      <c r="E58" s="5" t="s">
        <v>32</v>
      </c>
      <c r="F58" s="5" t="str">
        <f t="shared" si="28"/>
        <v>augmentSkillName1,records/skills,</v>
      </c>
      <c r="G58" s="7" t="str">
        <f t="shared" si="16"/>
        <v/>
      </c>
      <c r="H58" s="8" t="str">
        <f t="shared" si="17"/>
        <v>Soldier</v>
      </c>
      <c r="J58" s="8" t="str">
        <f t="shared" si="18"/>
        <v>class0001</v>
      </c>
      <c r="K58" s="8" t="str">
        <f t="shared" si="18"/>
        <v>dailoneskill0001</v>
      </c>
      <c r="L58" s="5" t="str">
        <f t="shared" si="4"/>
        <v>lootName,DAIL/items/materia/class0001/Soldier.dbr,</v>
      </c>
      <c r="M58" s="5" t="str">
        <f t="shared" si="5"/>
        <v>lootWeight,1,</v>
      </c>
      <c r="O58" t="str">
        <f t="shared" si="19"/>
        <v/>
      </c>
      <c r="P58" t="str">
        <f t="shared" si="6"/>
        <v/>
      </c>
      <c r="Q58" t="str">
        <f t="shared" si="7"/>
        <v/>
      </c>
      <c r="R58" t="str">
        <f t="shared" si="8"/>
        <v/>
      </c>
      <c r="S58" t="str">
        <f t="shared" si="9"/>
        <v/>
      </c>
      <c r="T58" t="str">
        <f t="shared" si="10"/>
        <v/>
      </c>
      <c r="U58" t="str">
        <f t="shared" si="11"/>
        <v/>
      </c>
      <c r="V58" s="5" t="s">
        <v>39</v>
      </c>
      <c r="W58" t="str">
        <f t="shared" si="12"/>
        <v/>
      </c>
      <c r="X58" t="str">
        <f t="shared" si="13"/>
        <v/>
      </c>
      <c r="Y58" s="5" t="s">
        <v>39</v>
      </c>
      <c r="Z58" t="str">
        <f t="shared" si="14"/>
        <v/>
      </c>
      <c r="AA58" t="str">
        <f t="shared" si="15"/>
        <v/>
      </c>
      <c r="AB58" s="5" t="s">
        <v>39</v>
      </c>
    </row>
    <row r="59" spans="1:28" x14ac:dyDescent="0.25">
      <c r="A59" s="5" t="s">
        <v>42</v>
      </c>
      <c r="B59" s="5" t="s">
        <v>33</v>
      </c>
      <c r="C59" s="5" t="str">
        <f t="shared" si="26"/>
        <v>description,dailCompDescSoldier,</v>
      </c>
      <c r="D59" s="5" t="str">
        <f t="shared" si="27"/>
        <v>itemText,dailCompTextSoldier,</v>
      </c>
      <c r="E59" s="5" t="s">
        <v>32</v>
      </c>
      <c r="F59" s="5" t="str">
        <f t="shared" si="28"/>
        <v>augmentSkillName1,records/skills,</v>
      </c>
      <c r="G59" s="7" t="str">
        <f t="shared" si="16"/>
        <v/>
      </c>
      <c r="H59" s="8" t="str">
        <f t="shared" si="17"/>
        <v>Soldier</v>
      </c>
      <c r="J59" s="8" t="str">
        <f t="shared" si="18"/>
        <v>class0001</v>
      </c>
      <c r="K59" s="8" t="str">
        <f t="shared" si="18"/>
        <v>dailoneskill0001</v>
      </c>
      <c r="L59" s="5" t="str">
        <f t="shared" si="4"/>
        <v>lootName,DAIL/items/materia/class0001/Soldier.dbr,</v>
      </c>
      <c r="M59" s="5" t="str">
        <f t="shared" si="5"/>
        <v>lootWeight,1,</v>
      </c>
      <c r="O59" t="str">
        <f t="shared" si="19"/>
        <v/>
      </c>
      <c r="P59" t="str">
        <f t="shared" si="6"/>
        <v/>
      </c>
      <c r="Q59" t="str">
        <f t="shared" si="7"/>
        <v/>
      </c>
      <c r="R59" t="str">
        <f t="shared" si="8"/>
        <v/>
      </c>
      <c r="S59" t="str">
        <f t="shared" si="9"/>
        <v/>
      </c>
      <c r="T59" t="str">
        <f t="shared" si="10"/>
        <v/>
      </c>
      <c r="U59" t="str">
        <f t="shared" si="11"/>
        <v/>
      </c>
      <c r="V59" s="5" t="s">
        <v>39</v>
      </c>
      <c r="W59" t="str">
        <f t="shared" si="12"/>
        <v/>
      </c>
      <c r="X59" t="str">
        <f t="shared" si="13"/>
        <v/>
      </c>
      <c r="Y59" s="5" t="s">
        <v>39</v>
      </c>
      <c r="Z59" t="str">
        <f t="shared" si="14"/>
        <v/>
      </c>
      <c r="AA59" t="str">
        <f t="shared" si="15"/>
        <v/>
      </c>
      <c r="AB59" s="5" t="s">
        <v>39</v>
      </c>
    </row>
    <row r="60" spans="1:28" x14ac:dyDescent="0.25">
      <c r="A60" s="5" t="s">
        <v>42</v>
      </c>
      <c r="B60" s="5" t="s">
        <v>33</v>
      </c>
      <c r="C60" s="5" t="str">
        <f t="shared" si="26"/>
        <v>description,dailCompDescSoldier,</v>
      </c>
      <c r="D60" s="5" t="str">
        <f t="shared" si="27"/>
        <v>itemText,dailCompTextSoldier,</v>
      </c>
      <c r="E60" s="5" t="s">
        <v>32</v>
      </c>
      <c r="F60" s="5" t="str">
        <f t="shared" si="28"/>
        <v>augmentSkillName1,records/skills,</v>
      </c>
      <c r="G60" s="7" t="str">
        <f t="shared" si="16"/>
        <v/>
      </c>
      <c r="H60" s="8" t="str">
        <f t="shared" si="17"/>
        <v>Soldier</v>
      </c>
      <c r="J60" s="8" t="str">
        <f t="shared" si="18"/>
        <v>class0001</v>
      </c>
      <c r="K60" s="8" t="str">
        <f t="shared" si="18"/>
        <v>dailoneskill0001</v>
      </c>
      <c r="L60" s="5" t="str">
        <f t="shared" si="4"/>
        <v>lootName,DAIL/items/materia/class0001/Soldier.dbr,</v>
      </c>
      <c r="M60" s="5" t="str">
        <f t="shared" si="5"/>
        <v>lootWeight,1,</v>
      </c>
      <c r="O60" t="str">
        <f t="shared" si="19"/>
        <v/>
      </c>
      <c r="P60" t="str">
        <f t="shared" si="6"/>
        <v/>
      </c>
      <c r="Q60" t="str">
        <f t="shared" si="7"/>
        <v/>
      </c>
      <c r="R60" t="str">
        <f t="shared" si="8"/>
        <v/>
      </c>
      <c r="S60" t="str">
        <f t="shared" si="9"/>
        <v/>
      </c>
      <c r="T60" t="str">
        <f t="shared" si="10"/>
        <v/>
      </c>
      <c r="U60" t="str">
        <f t="shared" si="11"/>
        <v/>
      </c>
      <c r="V60" s="5" t="s">
        <v>39</v>
      </c>
      <c r="W60" t="str">
        <f t="shared" si="12"/>
        <v/>
      </c>
      <c r="X60" t="str">
        <f t="shared" si="13"/>
        <v/>
      </c>
      <c r="Y60" s="5" t="s">
        <v>39</v>
      </c>
      <c r="Z60" t="str">
        <f t="shared" si="14"/>
        <v/>
      </c>
      <c r="AA60" t="str">
        <f t="shared" si="15"/>
        <v/>
      </c>
      <c r="AB60" s="5" t="s">
        <v>39</v>
      </c>
    </row>
    <row r="61" spans="1:28" x14ac:dyDescent="0.25">
      <c r="A61" s="5" t="s">
        <v>42</v>
      </c>
      <c r="B61" s="5" t="s">
        <v>33</v>
      </c>
      <c r="C61" s="5" t="str">
        <f t="shared" si="26"/>
        <v>description,dailCompDescSoldier,</v>
      </c>
      <c r="D61" s="5" t="str">
        <f t="shared" si="27"/>
        <v>itemText,dailCompTextSoldier,</v>
      </c>
      <c r="E61" s="5" t="s">
        <v>32</v>
      </c>
      <c r="F61" s="5" t="str">
        <f t="shared" si="28"/>
        <v>augmentSkillName1,records/skills,</v>
      </c>
      <c r="G61" s="7" t="str">
        <f t="shared" si="16"/>
        <v/>
      </c>
      <c r="H61" s="8" t="str">
        <f t="shared" si="17"/>
        <v>Soldier</v>
      </c>
      <c r="J61" s="8" t="str">
        <f t="shared" si="18"/>
        <v>class0001</v>
      </c>
      <c r="K61" s="8" t="str">
        <f t="shared" si="18"/>
        <v>dailoneskill0001</v>
      </c>
      <c r="L61" s="5" t="str">
        <f t="shared" si="4"/>
        <v>lootName,DAIL/items/materia/class0001/Soldier.dbr,</v>
      </c>
      <c r="M61" s="5" t="str">
        <f t="shared" si="5"/>
        <v>lootWeight,1,</v>
      </c>
      <c r="O61" t="str">
        <f t="shared" si="19"/>
        <v/>
      </c>
      <c r="P61" t="str">
        <f t="shared" si="6"/>
        <v/>
      </c>
      <c r="Q61" t="str">
        <f t="shared" si="7"/>
        <v/>
      </c>
      <c r="R61" t="str">
        <f t="shared" si="8"/>
        <v/>
      </c>
      <c r="S61" t="str">
        <f t="shared" si="9"/>
        <v/>
      </c>
      <c r="T61" t="str">
        <f t="shared" si="10"/>
        <v/>
      </c>
      <c r="U61" t="str">
        <f t="shared" si="11"/>
        <v/>
      </c>
      <c r="V61" s="5" t="s">
        <v>39</v>
      </c>
      <c r="W61" t="str">
        <f t="shared" si="12"/>
        <v/>
      </c>
      <c r="X61" t="str">
        <f t="shared" si="13"/>
        <v/>
      </c>
      <c r="Y61" s="5" t="s">
        <v>39</v>
      </c>
      <c r="Z61" t="str">
        <f t="shared" si="14"/>
        <v/>
      </c>
      <c r="AA61" t="str">
        <f t="shared" si="15"/>
        <v/>
      </c>
      <c r="AB61" s="5" t="s">
        <v>39</v>
      </c>
    </row>
    <row r="62" spans="1:28" x14ac:dyDescent="0.25">
      <c r="A62" s="5" t="s">
        <v>42</v>
      </c>
      <c r="B62" s="5" t="s">
        <v>33</v>
      </c>
      <c r="C62" s="5" t="str">
        <f t="shared" si="26"/>
        <v>description,dailCompDescSoldier,</v>
      </c>
      <c r="D62" s="5" t="str">
        <f t="shared" si="27"/>
        <v>itemText,dailCompTextSoldier,</v>
      </c>
      <c r="E62" s="5" t="s">
        <v>32</v>
      </c>
      <c r="F62" s="5" t="str">
        <f t="shared" si="28"/>
        <v>augmentSkillName1,records/skills,</v>
      </c>
      <c r="G62" s="7" t="str">
        <f t="shared" si="16"/>
        <v/>
      </c>
      <c r="H62" s="8" t="str">
        <f t="shared" si="17"/>
        <v>Soldier</v>
      </c>
      <c r="J62" s="8" t="str">
        <f t="shared" si="18"/>
        <v>class0001</v>
      </c>
      <c r="K62" s="8" t="str">
        <f t="shared" si="18"/>
        <v>dailoneskill0001</v>
      </c>
      <c r="L62" s="5" t="str">
        <f t="shared" si="4"/>
        <v>lootName,DAIL/items/materia/class0001/Soldier.dbr,</v>
      </c>
      <c r="M62" s="5" t="str">
        <f t="shared" si="5"/>
        <v>lootWeight,1,</v>
      </c>
      <c r="O62" t="str">
        <f t="shared" si="19"/>
        <v/>
      </c>
      <c r="P62" t="str">
        <f t="shared" si="6"/>
        <v/>
      </c>
      <c r="Q62" t="str">
        <f t="shared" si="7"/>
        <v/>
      </c>
      <c r="R62" t="str">
        <f t="shared" si="8"/>
        <v/>
      </c>
      <c r="S62" t="str">
        <f t="shared" si="9"/>
        <v/>
      </c>
      <c r="T62" t="str">
        <f t="shared" si="10"/>
        <v/>
      </c>
      <c r="U62" t="str">
        <f t="shared" si="11"/>
        <v/>
      </c>
      <c r="V62" s="5" t="s">
        <v>39</v>
      </c>
      <c r="W62" t="str">
        <f t="shared" si="12"/>
        <v/>
      </c>
      <c r="X62" t="str">
        <f t="shared" si="13"/>
        <v/>
      </c>
      <c r="Y62" s="5" t="s">
        <v>39</v>
      </c>
      <c r="Z62" t="str">
        <f t="shared" si="14"/>
        <v/>
      </c>
      <c r="AA62" t="str">
        <f t="shared" si="15"/>
        <v/>
      </c>
      <c r="AB62" s="5" t="s">
        <v>39</v>
      </c>
    </row>
    <row r="63" spans="1:28" x14ac:dyDescent="0.25">
      <c r="A63" s="5" t="s">
        <v>42</v>
      </c>
      <c r="B63" s="5" t="s">
        <v>33</v>
      </c>
      <c r="C63" s="5" t="str">
        <f t="shared" si="26"/>
        <v>description,dailCompDescSoldier,</v>
      </c>
      <c r="D63" s="5" t="str">
        <f t="shared" si="27"/>
        <v>itemText,dailCompTextSoldier,</v>
      </c>
      <c r="E63" s="5" t="s">
        <v>32</v>
      </c>
      <c r="F63" s="5" t="str">
        <f t="shared" si="28"/>
        <v>augmentSkillName1,records/skills,</v>
      </c>
      <c r="G63" s="7" t="str">
        <f t="shared" si="16"/>
        <v/>
      </c>
      <c r="H63" s="8" t="str">
        <f t="shared" si="17"/>
        <v>Soldier</v>
      </c>
      <c r="J63" s="8" t="str">
        <f t="shared" si="18"/>
        <v>class0001</v>
      </c>
      <c r="K63" s="8" t="str">
        <f t="shared" si="18"/>
        <v>dailoneskill0001</v>
      </c>
      <c r="L63" s="5" t="str">
        <f t="shared" si="4"/>
        <v>lootName,DAIL/items/materia/class0001/Soldier.dbr,</v>
      </c>
      <c r="M63" s="5" t="str">
        <f t="shared" si="5"/>
        <v>lootWeight,1,</v>
      </c>
      <c r="O63" t="str">
        <f t="shared" si="19"/>
        <v/>
      </c>
      <c r="P63" t="str">
        <f t="shared" si="6"/>
        <v/>
      </c>
      <c r="Q63" t="str">
        <f t="shared" si="7"/>
        <v/>
      </c>
      <c r="R63" t="str">
        <f t="shared" si="8"/>
        <v/>
      </c>
      <c r="S63" t="str">
        <f t="shared" si="9"/>
        <v/>
      </c>
      <c r="T63" t="str">
        <f t="shared" si="10"/>
        <v/>
      </c>
      <c r="U63" t="str">
        <f t="shared" si="11"/>
        <v/>
      </c>
      <c r="V63" s="5" t="s">
        <v>39</v>
      </c>
      <c r="W63" t="str">
        <f t="shared" si="12"/>
        <v/>
      </c>
      <c r="X63" t="str">
        <f t="shared" si="13"/>
        <v/>
      </c>
      <c r="Y63" s="5" t="s">
        <v>39</v>
      </c>
      <c r="Z63" t="str">
        <f t="shared" si="14"/>
        <v/>
      </c>
      <c r="AA63" t="str">
        <f t="shared" si="15"/>
        <v/>
      </c>
      <c r="AB63" s="5" t="s">
        <v>39</v>
      </c>
    </row>
    <row r="64" spans="1:28" x14ac:dyDescent="0.25">
      <c r="A64" s="5" t="s">
        <v>42</v>
      </c>
      <c r="B64" s="5" t="s">
        <v>33</v>
      </c>
      <c r="C64" s="5" t="str">
        <f t="shared" si="26"/>
        <v>description,dailCompDescSoldier,</v>
      </c>
      <c r="D64" s="5" t="str">
        <f t="shared" si="27"/>
        <v>itemText,dailCompTextSoldier,</v>
      </c>
      <c r="E64" s="5" t="s">
        <v>32</v>
      </c>
      <c r="F64" s="5" t="str">
        <f t="shared" si="28"/>
        <v>augmentSkillName1,records/skills,</v>
      </c>
      <c r="G64" s="7" t="str">
        <f t="shared" si="16"/>
        <v/>
      </c>
      <c r="H64" s="8" t="str">
        <f t="shared" si="17"/>
        <v>Soldier</v>
      </c>
      <c r="J64" s="8" t="str">
        <f t="shared" si="18"/>
        <v>class0001</v>
      </c>
      <c r="K64" s="8" t="str">
        <f t="shared" si="18"/>
        <v>dailoneskill0001</v>
      </c>
      <c r="L64" s="5" t="str">
        <f t="shared" si="4"/>
        <v>lootName,DAIL/items/materia/class0001/Soldier.dbr,</v>
      </c>
      <c r="M64" s="5" t="str">
        <f t="shared" si="5"/>
        <v>lootWeight,1,</v>
      </c>
      <c r="O64" t="str">
        <f t="shared" si="19"/>
        <v/>
      </c>
      <c r="P64" t="str">
        <f t="shared" si="6"/>
        <v/>
      </c>
      <c r="Q64" t="str">
        <f t="shared" si="7"/>
        <v/>
      </c>
      <c r="R64" t="str">
        <f t="shared" si="8"/>
        <v/>
      </c>
      <c r="S64" t="str">
        <f t="shared" si="9"/>
        <v/>
      </c>
      <c r="T64" t="str">
        <f t="shared" si="10"/>
        <v/>
      </c>
      <c r="U64" t="str">
        <f t="shared" si="11"/>
        <v/>
      </c>
      <c r="V64" s="5" t="s">
        <v>39</v>
      </c>
      <c r="W64" t="str">
        <f t="shared" si="12"/>
        <v/>
      </c>
      <c r="X64" t="str">
        <f t="shared" si="13"/>
        <v/>
      </c>
      <c r="Y64" s="5" t="s">
        <v>39</v>
      </c>
      <c r="Z64" t="str">
        <f t="shared" si="14"/>
        <v/>
      </c>
      <c r="AA64" t="str">
        <f t="shared" si="15"/>
        <v/>
      </c>
      <c r="AB64" s="5" t="s">
        <v>39</v>
      </c>
    </row>
    <row r="65" spans="1:28" x14ac:dyDescent="0.25">
      <c r="A65" s="5" t="s">
        <v>42</v>
      </c>
      <c r="B65" s="5" t="s">
        <v>33</v>
      </c>
      <c r="C65" s="5" t="str">
        <f t="shared" si="26"/>
        <v>description,dailCompDescSoldier,</v>
      </c>
      <c r="D65" s="5" t="str">
        <f t="shared" si="27"/>
        <v>itemText,dailCompTextSoldier,</v>
      </c>
      <c r="E65" s="5" t="s">
        <v>32</v>
      </c>
      <c r="F65" s="5" t="str">
        <f t="shared" si="28"/>
        <v>augmentSkillName1,records/skills,</v>
      </c>
      <c r="G65" s="7" t="str">
        <f t="shared" si="16"/>
        <v/>
      </c>
      <c r="H65" s="8" t="str">
        <f t="shared" si="17"/>
        <v>Soldier</v>
      </c>
      <c r="J65" s="8" t="str">
        <f t="shared" si="18"/>
        <v>class0001</v>
      </c>
      <c r="K65" s="8" t="str">
        <f t="shared" si="18"/>
        <v>dailoneskill0001</v>
      </c>
      <c r="L65" s="5" t="str">
        <f t="shared" si="4"/>
        <v>lootName,DAIL/items/materia/class0001/Soldier.dbr,</v>
      </c>
      <c r="M65" s="5" t="str">
        <f t="shared" si="5"/>
        <v>lootWeight,1,</v>
      </c>
      <c r="O65" t="str">
        <f t="shared" si="19"/>
        <v/>
      </c>
      <c r="P65" t="str">
        <f t="shared" si="6"/>
        <v/>
      </c>
      <c r="Q65" t="str">
        <f t="shared" si="7"/>
        <v/>
      </c>
      <c r="R65" t="str">
        <f t="shared" si="8"/>
        <v/>
      </c>
      <c r="S65" t="str">
        <f t="shared" si="9"/>
        <v/>
      </c>
      <c r="T65" t="str">
        <f t="shared" si="10"/>
        <v/>
      </c>
      <c r="U65" t="str">
        <f t="shared" si="11"/>
        <v/>
      </c>
      <c r="V65" s="5" t="s">
        <v>39</v>
      </c>
      <c r="W65" t="str">
        <f t="shared" si="12"/>
        <v/>
      </c>
      <c r="X65" t="str">
        <f t="shared" si="13"/>
        <v/>
      </c>
      <c r="Y65" s="5" t="s">
        <v>39</v>
      </c>
      <c r="Z65" t="str">
        <f t="shared" si="14"/>
        <v/>
      </c>
      <c r="AA65" t="str">
        <f t="shared" si="15"/>
        <v/>
      </c>
      <c r="AB65" s="5" t="s">
        <v>39</v>
      </c>
    </row>
    <row r="66" spans="1:28" x14ac:dyDescent="0.25">
      <c r="A66" s="5" t="s">
        <v>42</v>
      </c>
      <c r="B66" s="5" t="s">
        <v>33</v>
      </c>
      <c r="C66" s="5" t="str">
        <f t="shared" si="26"/>
        <v>description,dailCompDescSoldier,</v>
      </c>
      <c r="D66" s="5" t="str">
        <f t="shared" si="27"/>
        <v>itemText,dailCompTextSoldier,</v>
      </c>
      <c r="E66" s="5" t="s">
        <v>32</v>
      </c>
      <c r="F66" s="5" t="str">
        <f t="shared" si="28"/>
        <v>augmentSkillName1,records/skills,</v>
      </c>
      <c r="G66" s="7" t="str">
        <f t="shared" si="16"/>
        <v/>
      </c>
      <c r="H66" s="8" t="str">
        <f t="shared" si="17"/>
        <v>Soldier</v>
      </c>
      <c r="J66" s="8" t="str">
        <f t="shared" si="18"/>
        <v>class0001</v>
      </c>
      <c r="K66" s="8" t="str">
        <f t="shared" si="18"/>
        <v>dailoneskill0001</v>
      </c>
      <c r="L66" s="5" t="str">
        <f t="shared" si="4"/>
        <v>lootName,DAIL/items/materia/class0001/Soldier.dbr,</v>
      </c>
      <c r="M66" s="5" t="str">
        <f t="shared" si="5"/>
        <v>lootWeight,1,</v>
      </c>
      <c r="O66" t="str">
        <f t="shared" si="19"/>
        <v/>
      </c>
      <c r="P66" t="str">
        <f t="shared" si="6"/>
        <v/>
      </c>
      <c r="Q66" t="str">
        <f t="shared" si="7"/>
        <v/>
      </c>
      <c r="R66" t="str">
        <f t="shared" si="8"/>
        <v/>
      </c>
      <c r="S66" t="str">
        <f t="shared" si="9"/>
        <v/>
      </c>
      <c r="T66" t="str">
        <f t="shared" si="10"/>
        <v/>
      </c>
      <c r="U66" t="str">
        <f t="shared" si="11"/>
        <v/>
      </c>
      <c r="V66" s="5" t="s">
        <v>39</v>
      </c>
      <c r="W66" t="str">
        <f t="shared" si="12"/>
        <v/>
      </c>
      <c r="X66" t="str">
        <f t="shared" si="13"/>
        <v/>
      </c>
      <c r="Y66" s="5" t="s">
        <v>39</v>
      </c>
      <c r="Z66" t="str">
        <f t="shared" si="14"/>
        <v/>
      </c>
      <c r="AA66" t="str">
        <f t="shared" si="15"/>
        <v/>
      </c>
      <c r="AB66" s="5" t="s">
        <v>39</v>
      </c>
    </row>
    <row r="67" spans="1:28" x14ac:dyDescent="0.25">
      <c r="A67" s="5" t="s">
        <v>42</v>
      </c>
      <c r="B67" s="5" t="s">
        <v>33</v>
      </c>
      <c r="C67" s="5" t="str">
        <f t="shared" si="26"/>
        <v>description,dailCompDescSoldier,</v>
      </c>
      <c r="D67" s="5" t="str">
        <f t="shared" si="27"/>
        <v>itemText,dailCompTextSoldier,</v>
      </c>
      <c r="E67" s="5" t="s">
        <v>32</v>
      </c>
      <c r="F67" s="5" t="str">
        <f t="shared" si="28"/>
        <v>augmentSkillName1,records/skills,</v>
      </c>
      <c r="G67" s="7" t="str">
        <f t="shared" si="16"/>
        <v/>
      </c>
      <c r="H67" s="8" t="str">
        <f t="shared" si="17"/>
        <v>Soldier</v>
      </c>
      <c r="J67" s="8" t="str">
        <f t="shared" si="18"/>
        <v>class0001</v>
      </c>
      <c r="K67" s="8" t="str">
        <f t="shared" si="18"/>
        <v>dailoneskill0001</v>
      </c>
      <c r="L67" s="5" t="str">
        <f t="shared" si="4"/>
        <v>lootName,DAIL/items/materia/class0001/Soldier.dbr,</v>
      </c>
      <c r="M67" s="5" t="str">
        <f t="shared" si="5"/>
        <v>lootWeight,1,</v>
      </c>
      <c r="O67" t="str">
        <f t="shared" si="19"/>
        <v/>
      </c>
      <c r="P67" t="str">
        <f t="shared" si="6"/>
        <v/>
      </c>
      <c r="Q67" t="str">
        <f t="shared" si="7"/>
        <v/>
      </c>
      <c r="R67" t="str">
        <f t="shared" si="8"/>
        <v/>
      </c>
      <c r="S67" t="str">
        <f t="shared" si="9"/>
        <v/>
      </c>
      <c r="T67" t="str">
        <f t="shared" si="10"/>
        <v/>
      </c>
      <c r="U67" t="str">
        <f t="shared" si="11"/>
        <v/>
      </c>
      <c r="V67" s="5" t="s">
        <v>39</v>
      </c>
      <c r="W67" t="str">
        <f t="shared" si="12"/>
        <v/>
      </c>
      <c r="X67" t="str">
        <f t="shared" si="13"/>
        <v/>
      </c>
      <c r="Y67" s="5" t="s">
        <v>39</v>
      </c>
      <c r="Z67" t="str">
        <f t="shared" si="14"/>
        <v/>
      </c>
      <c r="AA67" t="str">
        <f t="shared" si="15"/>
        <v/>
      </c>
      <c r="AB67" s="5" t="s">
        <v>39</v>
      </c>
    </row>
    <row r="68" spans="1:28" x14ac:dyDescent="0.25">
      <c r="A68" s="5" t="s">
        <v>42</v>
      </c>
      <c r="B68" s="5" t="s">
        <v>33</v>
      </c>
      <c r="C68" s="5" t="str">
        <f t="shared" si="26"/>
        <v>description,dailCompDescSoldier,</v>
      </c>
      <c r="D68" s="5" t="str">
        <f t="shared" si="27"/>
        <v>itemText,dailCompTextSoldier,</v>
      </c>
      <c r="E68" s="5" t="s">
        <v>32</v>
      </c>
      <c r="F68" s="5" t="str">
        <f t="shared" si="28"/>
        <v>augmentSkillName1,records/skills,</v>
      </c>
      <c r="G68" s="7" t="str">
        <f t="shared" si="16"/>
        <v/>
      </c>
      <c r="H68" s="8" t="str">
        <f t="shared" si="17"/>
        <v>Soldier</v>
      </c>
      <c r="J68" s="8" t="str">
        <f t="shared" si="18"/>
        <v>class0001</v>
      </c>
      <c r="K68" s="8" t="str">
        <f t="shared" si="18"/>
        <v>dailoneskill0001</v>
      </c>
      <c r="L68" s="5" t="str">
        <f t="shared" ref="L68:L102" si="29">"lootName"&amp;G68&amp;",DAIL/items/materia/"&amp;J68&amp;"/"&amp;H68&amp;G68&amp;".dbr"&amp;","</f>
        <v>lootName,DAIL/items/materia/class0001/Soldier.dbr,</v>
      </c>
      <c r="M68" s="5" t="str">
        <f t="shared" ref="M68:M102" si="30">"lootWeight"&amp;G68&amp;",1,"</f>
        <v>lootWeight,1,</v>
      </c>
      <c r="O68" t="str">
        <f t="shared" ref="O68:O102" si="31">IF(I68&lt;&gt;"","copy .\dail_base.dbr .\items\materia\"&amp;J68&amp;"\"&amp;H68&amp;G68&amp;".dbr /y"&amp;"","")</f>
        <v/>
      </c>
      <c r="P68" t="str">
        <f t="shared" ref="P68:P102" si="32">IF($I68&lt;&gt;"","echo "&amp;A68&amp;" &gt;&gt; .\items\materia\"&amp;$J68&amp;"\"&amp;$H68&amp;$G68&amp;".dbr","")</f>
        <v/>
      </c>
      <c r="Q68" t="str">
        <f t="shared" ref="Q68:Q102" si="33">IF($I68&lt;&gt;"","echo "&amp;B68&amp;" &gt;&gt; .\items\materia\"&amp;$J68&amp;"\"&amp;$H68&amp;$G68&amp;".dbr","")</f>
        <v/>
      </c>
      <c r="R68" t="str">
        <f t="shared" ref="R68:R102" si="34">IF($I68&lt;&gt;"","echo "&amp;C68&amp;" &gt;&gt; .\items\materia\"&amp;$J68&amp;"\"&amp;$H68&amp;$G68&amp;".dbr","")</f>
        <v/>
      </c>
      <c r="S68" t="str">
        <f t="shared" ref="S68:S102" si="35">IF($I68&lt;&gt;"","echo "&amp;D68&amp;" &gt;&gt; .\items\materia\"&amp;$J68&amp;"\"&amp;$H68&amp;$G68&amp;".dbr","")</f>
        <v/>
      </c>
      <c r="T68" t="str">
        <f t="shared" ref="T68:T102" si="36">IF($I68&lt;&gt;"","echo "&amp;E68&amp;" &gt;&gt; .\items\materia\"&amp;$J68&amp;"\"&amp;$H68&amp;$G68&amp;".dbr","")</f>
        <v/>
      </c>
      <c r="U68" t="str">
        <f t="shared" ref="U68:U102" si="37">IF($I68&lt;&gt;"","echo "&amp;F68&amp;" &gt;&gt; .\items\materia\"&amp;$J68&amp;"\"&amp;$H68&amp;$G68&amp;".dbr","")</f>
        <v/>
      </c>
      <c r="V68" s="5" t="s">
        <v>39</v>
      </c>
      <c r="W68" t="str">
        <f t="shared" ref="W68:W102" si="38">IF($I68&lt;&gt;"","echo "&amp;L68&amp;" &gt;&gt; .\items\loottables\"&amp;$K68&amp;".dbr","")</f>
        <v/>
      </c>
      <c r="X68" t="str">
        <f t="shared" ref="X68:X102" si="39">IF($I68&lt;&gt;"","echo "&amp;M68&amp;" &gt;&gt; .\items\loottables\"&amp;$K68&amp;".dbr","")</f>
        <v/>
      </c>
      <c r="Y68" s="5" t="s">
        <v>39</v>
      </c>
      <c r="Z68" t="str">
        <f t="shared" ref="Z68:Z102" si="40">IF(I67&lt;&gt;""," echo dailCompDesc"&amp;H68&amp;G68&amp;"="&amp;H68&amp;"'s Gift of DAIL &gt;&gt; ..\source\text_en\DAILtags_gen.txt","")</f>
        <v/>
      </c>
      <c r="AA68" t="str">
        <f t="shared" ref="AA68:AA102" si="41">IF(I67&lt;&gt;"","echo dailCompText"&amp;H68&amp;G68&amp;"="&amp;H68&amp;"'s Gift of DAIL &gt;&gt; ..\source\text_en\DAILtags_gen.txt","")</f>
        <v/>
      </c>
      <c r="AB68" s="5" t="s">
        <v>39</v>
      </c>
    </row>
    <row r="69" spans="1:28" x14ac:dyDescent="0.25">
      <c r="A69" s="5" t="s">
        <v>42</v>
      </c>
      <c r="B69" s="5" t="s">
        <v>33</v>
      </c>
      <c r="C69" s="5" t="str">
        <f t="shared" si="26"/>
        <v>description,dailCompDescSoldier,</v>
      </c>
      <c r="D69" s="5" t="str">
        <f t="shared" si="27"/>
        <v>itemText,dailCompTextSoldier,</v>
      </c>
      <c r="E69" s="5" t="s">
        <v>32</v>
      </c>
      <c r="F69" s="5" t="str">
        <f t="shared" si="28"/>
        <v>augmentSkillName1,records/skills,</v>
      </c>
      <c r="G69" s="7" t="str">
        <f t="shared" ref="G69:G102" si="42">IF(I69&lt;&gt;"",G68+1,"")</f>
        <v/>
      </c>
      <c r="H69" s="8" t="str">
        <f t="shared" ref="H69:H102" si="43">H68</f>
        <v>Soldier</v>
      </c>
      <c r="J69" s="8" t="str">
        <f t="shared" ref="J69:K102" si="44">J68</f>
        <v>class0001</v>
      </c>
      <c r="K69" s="8" t="str">
        <f t="shared" si="44"/>
        <v>dailoneskill0001</v>
      </c>
      <c r="L69" s="5" t="str">
        <f t="shared" si="29"/>
        <v>lootName,DAIL/items/materia/class0001/Soldier.dbr,</v>
      </c>
      <c r="M69" s="5" t="str">
        <f t="shared" si="30"/>
        <v>lootWeight,1,</v>
      </c>
      <c r="O69" t="str">
        <f t="shared" si="31"/>
        <v/>
      </c>
      <c r="P69" t="str">
        <f t="shared" si="32"/>
        <v/>
      </c>
      <c r="Q69" t="str">
        <f t="shared" si="33"/>
        <v/>
      </c>
      <c r="R69" t="str">
        <f t="shared" si="34"/>
        <v/>
      </c>
      <c r="S69" t="str">
        <f t="shared" si="35"/>
        <v/>
      </c>
      <c r="T69" t="str">
        <f t="shared" si="36"/>
        <v/>
      </c>
      <c r="U69" t="str">
        <f t="shared" si="37"/>
        <v/>
      </c>
      <c r="V69" s="5" t="s">
        <v>39</v>
      </c>
      <c r="W69" t="str">
        <f t="shared" si="38"/>
        <v/>
      </c>
      <c r="X69" t="str">
        <f t="shared" si="39"/>
        <v/>
      </c>
      <c r="Y69" s="5" t="s">
        <v>39</v>
      </c>
      <c r="Z69" t="str">
        <f t="shared" si="40"/>
        <v/>
      </c>
      <c r="AA69" t="str">
        <f t="shared" si="41"/>
        <v/>
      </c>
      <c r="AB69" s="5" t="s">
        <v>39</v>
      </c>
    </row>
    <row r="70" spans="1:28" x14ac:dyDescent="0.25">
      <c r="A70" s="5" t="s">
        <v>42</v>
      </c>
      <c r="B70" s="5" t="s">
        <v>33</v>
      </c>
      <c r="C70" s="5" t="str">
        <f t="shared" si="26"/>
        <v>description,dailCompDescSoldier,</v>
      </c>
      <c r="D70" s="5" t="str">
        <f t="shared" si="27"/>
        <v>itemText,dailCompTextSoldier,</v>
      </c>
      <c r="E70" s="5" t="s">
        <v>32</v>
      </c>
      <c r="F70" s="5" t="str">
        <f t="shared" si="28"/>
        <v>augmentSkillName1,records/skills,</v>
      </c>
      <c r="G70" s="7" t="str">
        <f t="shared" si="42"/>
        <v/>
      </c>
      <c r="H70" s="8" t="str">
        <f t="shared" si="43"/>
        <v>Soldier</v>
      </c>
      <c r="J70" s="8" t="str">
        <f t="shared" si="44"/>
        <v>class0001</v>
      </c>
      <c r="K70" s="8" t="str">
        <f t="shared" si="44"/>
        <v>dailoneskill0001</v>
      </c>
      <c r="L70" s="5" t="str">
        <f t="shared" si="29"/>
        <v>lootName,DAIL/items/materia/class0001/Soldier.dbr,</v>
      </c>
      <c r="M70" s="5" t="str">
        <f t="shared" si="30"/>
        <v>lootWeight,1,</v>
      </c>
      <c r="O70" t="str">
        <f t="shared" si="31"/>
        <v/>
      </c>
      <c r="P70" t="str">
        <f t="shared" si="32"/>
        <v/>
      </c>
      <c r="Q70" t="str">
        <f t="shared" si="33"/>
        <v/>
      </c>
      <c r="R70" t="str">
        <f t="shared" si="34"/>
        <v/>
      </c>
      <c r="S70" t="str">
        <f t="shared" si="35"/>
        <v/>
      </c>
      <c r="T70" t="str">
        <f t="shared" si="36"/>
        <v/>
      </c>
      <c r="U70" t="str">
        <f t="shared" si="37"/>
        <v/>
      </c>
      <c r="V70" s="5" t="s">
        <v>39</v>
      </c>
      <c r="W70" t="str">
        <f t="shared" si="38"/>
        <v/>
      </c>
      <c r="X70" t="str">
        <f t="shared" si="39"/>
        <v/>
      </c>
      <c r="Y70" s="5" t="s">
        <v>39</v>
      </c>
      <c r="Z70" t="str">
        <f t="shared" si="40"/>
        <v/>
      </c>
      <c r="AA70" t="str">
        <f t="shared" si="41"/>
        <v/>
      </c>
      <c r="AB70" s="5" t="s">
        <v>39</v>
      </c>
    </row>
    <row r="71" spans="1:28" x14ac:dyDescent="0.25">
      <c r="A71" s="5" t="s">
        <v>42</v>
      </c>
      <c r="B71" s="5" t="s">
        <v>33</v>
      </c>
      <c r="C71" s="5" t="str">
        <f t="shared" si="26"/>
        <v>description,dailCompDescSoldier,</v>
      </c>
      <c r="D71" s="5" t="str">
        <f t="shared" si="27"/>
        <v>itemText,dailCompTextSoldier,</v>
      </c>
      <c r="E71" s="5" t="s">
        <v>32</v>
      </c>
      <c r="F71" s="5" t="str">
        <f t="shared" si="28"/>
        <v>augmentSkillName1,records/skills,</v>
      </c>
      <c r="G71" s="7" t="str">
        <f t="shared" si="42"/>
        <v/>
      </c>
      <c r="H71" s="8" t="str">
        <f t="shared" si="43"/>
        <v>Soldier</v>
      </c>
      <c r="J71" s="8" t="str">
        <f t="shared" si="44"/>
        <v>class0001</v>
      </c>
      <c r="K71" s="8" t="str">
        <f t="shared" si="44"/>
        <v>dailoneskill0001</v>
      </c>
      <c r="L71" s="5" t="str">
        <f t="shared" si="29"/>
        <v>lootName,DAIL/items/materia/class0001/Soldier.dbr,</v>
      </c>
      <c r="M71" s="5" t="str">
        <f t="shared" si="30"/>
        <v>lootWeight,1,</v>
      </c>
      <c r="O71" t="str">
        <f t="shared" si="31"/>
        <v/>
      </c>
      <c r="P71" t="str">
        <f t="shared" si="32"/>
        <v/>
      </c>
      <c r="Q71" t="str">
        <f t="shared" si="33"/>
        <v/>
      </c>
      <c r="R71" t="str">
        <f t="shared" si="34"/>
        <v/>
      </c>
      <c r="S71" t="str">
        <f t="shared" si="35"/>
        <v/>
      </c>
      <c r="T71" t="str">
        <f t="shared" si="36"/>
        <v/>
      </c>
      <c r="U71" t="str">
        <f t="shared" si="37"/>
        <v/>
      </c>
      <c r="V71" s="5" t="s">
        <v>39</v>
      </c>
      <c r="W71" t="str">
        <f t="shared" si="38"/>
        <v/>
      </c>
      <c r="X71" t="str">
        <f t="shared" si="39"/>
        <v/>
      </c>
      <c r="Y71" s="5" t="s">
        <v>39</v>
      </c>
      <c r="Z71" t="str">
        <f t="shared" si="40"/>
        <v/>
      </c>
      <c r="AA71" t="str">
        <f t="shared" si="41"/>
        <v/>
      </c>
      <c r="AB71" s="5" t="s">
        <v>39</v>
      </c>
    </row>
    <row r="72" spans="1:28" x14ac:dyDescent="0.25">
      <c r="A72" s="5" t="s">
        <v>42</v>
      </c>
      <c r="B72" s="5" t="s">
        <v>33</v>
      </c>
      <c r="C72" s="5" t="str">
        <f t="shared" si="26"/>
        <v>description,dailCompDescSoldier,</v>
      </c>
      <c r="D72" s="5" t="str">
        <f t="shared" si="27"/>
        <v>itemText,dailCompTextSoldier,</v>
      </c>
      <c r="E72" s="5" t="s">
        <v>32</v>
      </c>
      <c r="F72" s="5" t="str">
        <f t="shared" si="28"/>
        <v>augmentSkillName1,records/skills,</v>
      </c>
      <c r="G72" s="7" t="str">
        <f t="shared" si="42"/>
        <v/>
      </c>
      <c r="H72" s="8" t="str">
        <f t="shared" si="43"/>
        <v>Soldier</v>
      </c>
      <c r="J72" s="8" t="str">
        <f t="shared" si="44"/>
        <v>class0001</v>
      </c>
      <c r="K72" s="8" t="str">
        <f t="shared" si="44"/>
        <v>dailoneskill0001</v>
      </c>
      <c r="L72" s="5" t="str">
        <f t="shared" si="29"/>
        <v>lootName,DAIL/items/materia/class0001/Soldier.dbr,</v>
      </c>
      <c r="M72" s="5" t="str">
        <f t="shared" si="30"/>
        <v>lootWeight,1,</v>
      </c>
      <c r="O72" t="str">
        <f t="shared" si="31"/>
        <v/>
      </c>
      <c r="P72" t="str">
        <f t="shared" si="32"/>
        <v/>
      </c>
      <c r="Q72" t="str">
        <f t="shared" si="33"/>
        <v/>
      </c>
      <c r="R72" t="str">
        <f t="shared" si="34"/>
        <v/>
      </c>
      <c r="S72" t="str">
        <f t="shared" si="35"/>
        <v/>
      </c>
      <c r="T72" t="str">
        <f t="shared" si="36"/>
        <v/>
      </c>
      <c r="U72" t="str">
        <f t="shared" si="37"/>
        <v/>
      </c>
      <c r="V72" s="5" t="s">
        <v>39</v>
      </c>
      <c r="W72" t="str">
        <f t="shared" si="38"/>
        <v/>
      </c>
      <c r="X72" t="str">
        <f t="shared" si="39"/>
        <v/>
      </c>
      <c r="Y72" s="5" t="s">
        <v>39</v>
      </c>
      <c r="Z72" t="str">
        <f t="shared" si="40"/>
        <v/>
      </c>
      <c r="AA72" t="str">
        <f t="shared" si="41"/>
        <v/>
      </c>
      <c r="AB72" s="5" t="s">
        <v>39</v>
      </c>
    </row>
    <row r="73" spans="1:28" x14ac:dyDescent="0.25">
      <c r="A73" s="5" t="s">
        <v>42</v>
      </c>
      <c r="B73" s="5" t="s">
        <v>33</v>
      </c>
      <c r="C73" s="5" t="str">
        <f t="shared" si="26"/>
        <v>description,dailCompDescSoldier,</v>
      </c>
      <c r="D73" s="5" t="str">
        <f t="shared" si="27"/>
        <v>itemText,dailCompTextSoldier,</v>
      </c>
      <c r="E73" s="5" t="s">
        <v>32</v>
      </c>
      <c r="F73" s="5" t="str">
        <f t="shared" si="28"/>
        <v>augmentSkillName1,records/skills,</v>
      </c>
      <c r="G73" s="7" t="str">
        <f t="shared" si="42"/>
        <v/>
      </c>
      <c r="H73" s="8" t="str">
        <f t="shared" si="43"/>
        <v>Soldier</v>
      </c>
      <c r="J73" s="8" t="str">
        <f t="shared" si="44"/>
        <v>class0001</v>
      </c>
      <c r="K73" s="8" t="str">
        <f t="shared" si="44"/>
        <v>dailoneskill0001</v>
      </c>
      <c r="L73" s="5" t="str">
        <f t="shared" si="29"/>
        <v>lootName,DAIL/items/materia/class0001/Soldier.dbr,</v>
      </c>
      <c r="M73" s="5" t="str">
        <f t="shared" si="30"/>
        <v>lootWeight,1,</v>
      </c>
      <c r="O73" t="str">
        <f t="shared" si="31"/>
        <v/>
      </c>
      <c r="P73" t="str">
        <f t="shared" si="32"/>
        <v/>
      </c>
      <c r="Q73" t="str">
        <f t="shared" si="33"/>
        <v/>
      </c>
      <c r="R73" t="str">
        <f t="shared" si="34"/>
        <v/>
      </c>
      <c r="S73" t="str">
        <f t="shared" si="35"/>
        <v/>
      </c>
      <c r="T73" t="str">
        <f t="shared" si="36"/>
        <v/>
      </c>
      <c r="U73" t="str">
        <f t="shared" si="37"/>
        <v/>
      </c>
      <c r="V73" s="5" t="s">
        <v>39</v>
      </c>
      <c r="W73" t="str">
        <f t="shared" si="38"/>
        <v/>
      </c>
      <c r="X73" t="str">
        <f t="shared" si="39"/>
        <v/>
      </c>
      <c r="Y73" s="5" t="s">
        <v>39</v>
      </c>
      <c r="Z73" t="str">
        <f t="shared" si="40"/>
        <v/>
      </c>
      <c r="AA73" t="str">
        <f t="shared" si="41"/>
        <v/>
      </c>
      <c r="AB73" s="5" t="s">
        <v>39</v>
      </c>
    </row>
    <row r="74" spans="1:28" x14ac:dyDescent="0.25">
      <c r="A74" s="5" t="s">
        <v>42</v>
      </c>
      <c r="B74" s="5" t="s">
        <v>33</v>
      </c>
      <c r="C74" s="5" t="str">
        <f t="shared" si="26"/>
        <v>description,dailCompDescSoldier,</v>
      </c>
      <c r="D74" s="5" t="str">
        <f t="shared" si="27"/>
        <v>itemText,dailCompTextSoldier,</v>
      </c>
      <c r="E74" s="5" t="s">
        <v>32</v>
      </c>
      <c r="F74" s="5" t="str">
        <f t="shared" si="28"/>
        <v>augmentSkillName1,records/skills,</v>
      </c>
      <c r="G74" s="7" t="str">
        <f t="shared" si="42"/>
        <v/>
      </c>
      <c r="H74" s="8" t="str">
        <f t="shared" si="43"/>
        <v>Soldier</v>
      </c>
      <c r="J74" s="8" t="str">
        <f t="shared" si="44"/>
        <v>class0001</v>
      </c>
      <c r="K74" s="8" t="str">
        <f t="shared" si="44"/>
        <v>dailoneskill0001</v>
      </c>
      <c r="L74" s="5" t="str">
        <f t="shared" si="29"/>
        <v>lootName,DAIL/items/materia/class0001/Soldier.dbr,</v>
      </c>
      <c r="M74" s="5" t="str">
        <f t="shared" si="30"/>
        <v>lootWeight,1,</v>
      </c>
      <c r="O74" t="str">
        <f t="shared" si="31"/>
        <v/>
      </c>
      <c r="P74" t="str">
        <f t="shared" si="32"/>
        <v/>
      </c>
      <c r="Q74" t="str">
        <f t="shared" si="33"/>
        <v/>
      </c>
      <c r="R74" t="str">
        <f t="shared" si="34"/>
        <v/>
      </c>
      <c r="S74" t="str">
        <f t="shared" si="35"/>
        <v/>
      </c>
      <c r="T74" t="str">
        <f t="shared" si="36"/>
        <v/>
      </c>
      <c r="U74" t="str">
        <f t="shared" si="37"/>
        <v/>
      </c>
      <c r="V74" s="5" t="s">
        <v>39</v>
      </c>
      <c r="W74" t="str">
        <f t="shared" si="38"/>
        <v/>
      </c>
      <c r="X74" t="str">
        <f t="shared" si="39"/>
        <v/>
      </c>
      <c r="Y74" s="5" t="s">
        <v>39</v>
      </c>
      <c r="Z74" t="str">
        <f t="shared" si="40"/>
        <v/>
      </c>
      <c r="AA74" t="str">
        <f t="shared" si="41"/>
        <v/>
      </c>
      <c r="AB74" s="5" t="s">
        <v>39</v>
      </c>
    </row>
    <row r="75" spans="1:28" x14ac:dyDescent="0.25">
      <c r="A75" s="5" t="s">
        <v>42</v>
      </c>
      <c r="B75" s="5" t="s">
        <v>33</v>
      </c>
      <c r="C75" s="5" t="str">
        <f t="shared" si="26"/>
        <v>description,dailCompDescSoldier,</v>
      </c>
      <c r="D75" s="5" t="str">
        <f t="shared" si="27"/>
        <v>itemText,dailCompTextSoldier,</v>
      </c>
      <c r="E75" s="5" t="s">
        <v>32</v>
      </c>
      <c r="F75" s="5" t="str">
        <f t="shared" si="28"/>
        <v>augmentSkillName1,records/skills,</v>
      </c>
      <c r="G75" s="7" t="str">
        <f t="shared" si="42"/>
        <v/>
      </c>
      <c r="H75" s="8" t="str">
        <f t="shared" si="43"/>
        <v>Soldier</v>
      </c>
      <c r="J75" s="8" t="str">
        <f t="shared" si="44"/>
        <v>class0001</v>
      </c>
      <c r="K75" s="8" t="str">
        <f t="shared" si="44"/>
        <v>dailoneskill0001</v>
      </c>
      <c r="L75" s="5" t="str">
        <f t="shared" si="29"/>
        <v>lootName,DAIL/items/materia/class0001/Soldier.dbr,</v>
      </c>
      <c r="M75" s="5" t="str">
        <f t="shared" si="30"/>
        <v>lootWeight,1,</v>
      </c>
      <c r="O75" t="str">
        <f t="shared" si="31"/>
        <v/>
      </c>
      <c r="P75" t="str">
        <f t="shared" si="32"/>
        <v/>
      </c>
      <c r="Q75" t="str">
        <f t="shared" si="33"/>
        <v/>
      </c>
      <c r="R75" t="str">
        <f t="shared" si="34"/>
        <v/>
      </c>
      <c r="S75" t="str">
        <f t="shared" si="35"/>
        <v/>
      </c>
      <c r="T75" t="str">
        <f t="shared" si="36"/>
        <v/>
      </c>
      <c r="U75" t="str">
        <f t="shared" si="37"/>
        <v/>
      </c>
      <c r="V75" s="5" t="s">
        <v>39</v>
      </c>
      <c r="W75" t="str">
        <f t="shared" si="38"/>
        <v/>
      </c>
      <c r="X75" t="str">
        <f t="shared" si="39"/>
        <v/>
      </c>
      <c r="Y75" s="5" t="s">
        <v>39</v>
      </c>
      <c r="Z75" t="str">
        <f t="shared" si="40"/>
        <v/>
      </c>
      <c r="AA75" t="str">
        <f t="shared" si="41"/>
        <v/>
      </c>
      <c r="AB75" s="5" t="s">
        <v>39</v>
      </c>
    </row>
    <row r="76" spans="1:28" x14ac:dyDescent="0.25">
      <c r="A76" s="5" t="s">
        <v>42</v>
      </c>
      <c r="B76" s="5" t="s">
        <v>33</v>
      </c>
      <c r="C76" s="5" t="str">
        <f t="shared" si="26"/>
        <v>description,dailCompDescSoldier,</v>
      </c>
      <c r="D76" s="5" t="str">
        <f t="shared" si="27"/>
        <v>itemText,dailCompTextSoldier,</v>
      </c>
      <c r="E76" s="5" t="s">
        <v>32</v>
      </c>
      <c r="F76" s="5" t="str">
        <f t="shared" si="28"/>
        <v>augmentSkillName1,records/skills,</v>
      </c>
      <c r="G76" s="7" t="str">
        <f t="shared" si="42"/>
        <v/>
      </c>
      <c r="H76" s="8" t="str">
        <f t="shared" si="43"/>
        <v>Soldier</v>
      </c>
      <c r="J76" s="8" t="str">
        <f t="shared" si="44"/>
        <v>class0001</v>
      </c>
      <c r="K76" s="8" t="str">
        <f t="shared" si="44"/>
        <v>dailoneskill0001</v>
      </c>
      <c r="L76" s="5" t="str">
        <f t="shared" si="29"/>
        <v>lootName,DAIL/items/materia/class0001/Soldier.dbr,</v>
      </c>
      <c r="M76" s="5" t="str">
        <f t="shared" si="30"/>
        <v>lootWeight,1,</v>
      </c>
      <c r="O76" t="str">
        <f t="shared" si="31"/>
        <v/>
      </c>
      <c r="P76" t="str">
        <f t="shared" si="32"/>
        <v/>
      </c>
      <c r="Q76" t="str">
        <f t="shared" si="33"/>
        <v/>
      </c>
      <c r="R76" t="str">
        <f t="shared" si="34"/>
        <v/>
      </c>
      <c r="S76" t="str">
        <f t="shared" si="35"/>
        <v/>
      </c>
      <c r="T76" t="str">
        <f t="shared" si="36"/>
        <v/>
      </c>
      <c r="U76" t="str">
        <f t="shared" si="37"/>
        <v/>
      </c>
      <c r="V76" s="5" t="s">
        <v>39</v>
      </c>
      <c r="W76" t="str">
        <f t="shared" si="38"/>
        <v/>
      </c>
      <c r="X76" t="str">
        <f t="shared" si="39"/>
        <v/>
      </c>
      <c r="Y76" s="5" t="s">
        <v>39</v>
      </c>
      <c r="Z76" t="str">
        <f t="shared" si="40"/>
        <v/>
      </c>
      <c r="AA76" t="str">
        <f t="shared" si="41"/>
        <v/>
      </c>
      <c r="AB76" s="5" t="s">
        <v>39</v>
      </c>
    </row>
    <row r="77" spans="1:28" x14ac:dyDescent="0.25">
      <c r="A77" s="5" t="s">
        <v>42</v>
      </c>
      <c r="B77" s="5" t="s">
        <v>33</v>
      </c>
      <c r="C77" s="5" t="str">
        <f t="shared" si="26"/>
        <v>description,dailCompDescSoldier,</v>
      </c>
      <c r="D77" s="5" t="str">
        <f t="shared" si="27"/>
        <v>itemText,dailCompTextSoldier,</v>
      </c>
      <c r="E77" s="5" t="s">
        <v>32</v>
      </c>
      <c r="F77" s="5" t="str">
        <f t="shared" si="28"/>
        <v>augmentSkillName1,records/skills,</v>
      </c>
      <c r="G77" s="7" t="str">
        <f t="shared" si="42"/>
        <v/>
      </c>
      <c r="H77" s="8" t="str">
        <f t="shared" si="43"/>
        <v>Soldier</v>
      </c>
      <c r="J77" s="8" t="str">
        <f t="shared" si="44"/>
        <v>class0001</v>
      </c>
      <c r="K77" s="8" t="str">
        <f t="shared" si="44"/>
        <v>dailoneskill0001</v>
      </c>
      <c r="L77" s="5" t="str">
        <f t="shared" si="29"/>
        <v>lootName,DAIL/items/materia/class0001/Soldier.dbr,</v>
      </c>
      <c r="M77" s="5" t="str">
        <f t="shared" si="30"/>
        <v>lootWeight,1,</v>
      </c>
      <c r="O77" t="str">
        <f t="shared" si="31"/>
        <v/>
      </c>
      <c r="P77" t="str">
        <f t="shared" si="32"/>
        <v/>
      </c>
      <c r="Q77" t="str">
        <f t="shared" si="33"/>
        <v/>
      </c>
      <c r="R77" t="str">
        <f t="shared" si="34"/>
        <v/>
      </c>
      <c r="S77" t="str">
        <f t="shared" si="35"/>
        <v/>
      </c>
      <c r="T77" t="str">
        <f t="shared" si="36"/>
        <v/>
      </c>
      <c r="U77" t="str">
        <f t="shared" si="37"/>
        <v/>
      </c>
      <c r="V77" s="5" t="s">
        <v>39</v>
      </c>
      <c r="W77" t="str">
        <f t="shared" si="38"/>
        <v/>
      </c>
      <c r="X77" t="str">
        <f t="shared" si="39"/>
        <v/>
      </c>
      <c r="Y77" s="5" t="s">
        <v>39</v>
      </c>
      <c r="Z77" t="str">
        <f t="shared" si="40"/>
        <v/>
      </c>
      <c r="AA77" t="str">
        <f t="shared" si="41"/>
        <v/>
      </c>
      <c r="AB77" s="5" t="s">
        <v>39</v>
      </c>
    </row>
    <row r="78" spans="1:28" x14ac:dyDescent="0.25">
      <c r="A78" s="5" t="s">
        <v>42</v>
      </c>
      <c r="B78" s="5" t="s">
        <v>33</v>
      </c>
      <c r="C78" s="5" t="str">
        <f t="shared" si="26"/>
        <v>description,dailCompDescSoldier,</v>
      </c>
      <c r="D78" s="5" t="str">
        <f t="shared" si="27"/>
        <v>itemText,dailCompTextSoldier,</v>
      </c>
      <c r="E78" s="5" t="s">
        <v>32</v>
      </c>
      <c r="F78" s="5" t="str">
        <f t="shared" si="28"/>
        <v>augmentSkillName1,records/skills,</v>
      </c>
      <c r="G78" s="7" t="str">
        <f t="shared" si="42"/>
        <v/>
      </c>
      <c r="H78" s="8" t="str">
        <f t="shared" si="43"/>
        <v>Soldier</v>
      </c>
      <c r="J78" s="8" t="str">
        <f t="shared" si="44"/>
        <v>class0001</v>
      </c>
      <c r="K78" s="8" t="str">
        <f t="shared" si="44"/>
        <v>dailoneskill0001</v>
      </c>
      <c r="L78" s="5" t="str">
        <f t="shared" si="29"/>
        <v>lootName,DAIL/items/materia/class0001/Soldier.dbr,</v>
      </c>
      <c r="M78" s="5" t="str">
        <f t="shared" si="30"/>
        <v>lootWeight,1,</v>
      </c>
      <c r="O78" t="str">
        <f t="shared" si="31"/>
        <v/>
      </c>
      <c r="P78" t="str">
        <f t="shared" si="32"/>
        <v/>
      </c>
      <c r="Q78" t="str">
        <f t="shared" si="33"/>
        <v/>
      </c>
      <c r="R78" t="str">
        <f t="shared" si="34"/>
        <v/>
      </c>
      <c r="S78" t="str">
        <f t="shared" si="35"/>
        <v/>
      </c>
      <c r="T78" t="str">
        <f t="shared" si="36"/>
        <v/>
      </c>
      <c r="U78" t="str">
        <f t="shared" si="37"/>
        <v/>
      </c>
      <c r="V78" s="5" t="s">
        <v>39</v>
      </c>
      <c r="W78" t="str">
        <f t="shared" si="38"/>
        <v/>
      </c>
      <c r="X78" t="str">
        <f t="shared" si="39"/>
        <v/>
      </c>
      <c r="Y78" s="5" t="s">
        <v>39</v>
      </c>
      <c r="Z78" t="str">
        <f t="shared" si="40"/>
        <v/>
      </c>
      <c r="AA78" t="str">
        <f t="shared" si="41"/>
        <v/>
      </c>
      <c r="AB78" s="5" t="s">
        <v>39</v>
      </c>
    </row>
    <row r="79" spans="1:28" x14ac:dyDescent="0.25">
      <c r="A79" s="5" t="s">
        <v>42</v>
      </c>
      <c r="B79" s="5" t="s">
        <v>33</v>
      </c>
      <c r="C79" s="5" t="str">
        <f t="shared" si="26"/>
        <v>description,dailCompDescSoldier,</v>
      </c>
      <c r="D79" s="5" t="str">
        <f t="shared" si="27"/>
        <v>itemText,dailCompTextSoldier,</v>
      </c>
      <c r="E79" s="5" t="s">
        <v>32</v>
      </c>
      <c r="F79" s="5" t="str">
        <f t="shared" si="28"/>
        <v>augmentSkillName1,records/skills,</v>
      </c>
      <c r="G79" s="7" t="str">
        <f t="shared" si="42"/>
        <v/>
      </c>
      <c r="H79" s="8" t="str">
        <f t="shared" si="43"/>
        <v>Soldier</v>
      </c>
      <c r="J79" s="8" t="str">
        <f t="shared" si="44"/>
        <v>class0001</v>
      </c>
      <c r="K79" s="8" t="str">
        <f t="shared" si="44"/>
        <v>dailoneskill0001</v>
      </c>
      <c r="L79" s="5" t="str">
        <f t="shared" si="29"/>
        <v>lootName,DAIL/items/materia/class0001/Soldier.dbr,</v>
      </c>
      <c r="M79" s="5" t="str">
        <f t="shared" si="30"/>
        <v>lootWeight,1,</v>
      </c>
      <c r="O79" t="str">
        <f t="shared" si="31"/>
        <v/>
      </c>
      <c r="P79" t="str">
        <f t="shared" si="32"/>
        <v/>
      </c>
      <c r="Q79" t="str">
        <f t="shared" si="33"/>
        <v/>
      </c>
      <c r="R79" t="str">
        <f t="shared" si="34"/>
        <v/>
      </c>
      <c r="S79" t="str">
        <f t="shared" si="35"/>
        <v/>
      </c>
      <c r="T79" t="str">
        <f t="shared" si="36"/>
        <v/>
      </c>
      <c r="U79" t="str">
        <f t="shared" si="37"/>
        <v/>
      </c>
      <c r="V79" s="5" t="s">
        <v>39</v>
      </c>
      <c r="W79" t="str">
        <f t="shared" si="38"/>
        <v/>
      </c>
      <c r="X79" t="str">
        <f t="shared" si="39"/>
        <v/>
      </c>
      <c r="Y79" s="5" t="s">
        <v>39</v>
      </c>
      <c r="Z79" t="str">
        <f t="shared" si="40"/>
        <v/>
      </c>
      <c r="AA79" t="str">
        <f t="shared" si="41"/>
        <v/>
      </c>
      <c r="AB79" s="5" t="s">
        <v>39</v>
      </c>
    </row>
    <row r="80" spans="1:28" x14ac:dyDescent="0.25">
      <c r="A80" s="5" t="s">
        <v>42</v>
      </c>
      <c r="B80" s="5" t="s">
        <v>33</v>
      </c>
      <c r="C80" s="5" t="str">
        <f t="shared" si="26"/>
        <v>description,dailCompDescSoldier,</v>
      </c>
      <c r="D80" s="5" t="str">
        <f t="shared" si="27"/>
        <v>itemText,dailCompTextSoldier,</v>
      </c>
      <c r="E80" s="5" t="s">
        <v>32</v>
      </c>
      <c r="F80" s="5" t="str">
        <f t="shared" si="28"/>
        <v>augmentSkillName1,records/skills,</v>
      </c>
      <c r="G80" s="7" t="str">
        <f t="shared" si="42"/>
        <v/>
      </c>
      <c r="H80" s="8" t="str">
        <f t="shared" si="43"/>
        <v>Soldier</v>
      </c>
      <c r="J80" s="8" t="str">
        <f t="shared" si="44"/>
        <v>class0001</v>
      </c>
      <c r="K80" s="8" t="str">
        <f t="shared" si="44"/>
        <v>dailoneskill0001</v>
      </c>
      <c r="L80" s="5" t="str">
        <f t="shared" si="29"/>
        <v>lootName,DAIL/items/materia/class0001/Soldier.dbr,</v>
      </c>
      <c r="M80" s="5" t="str">
        <f t="shared" si="30"/>
        <v>lootWeight,1,</v>
      </c>
      <c r="O80" t="str">
        <f t="shared" si="31"/>
        <v/>
      </c>
      <c r="P80" t="str">
        <f t="shared" si="32"/>
        <v/>
      </c>
      <c r="Q80" t="str">
        <f t="shared" si="33"/>
        <v/>
      </c>
      <c r="R80" t="str">
        <f t="shared" si="34"/>
        <v/>
      </c>
      <c r="S80" t="str">
        <f t="shared" si="35"/>
        <v/>
      </c>
      <c r="T80" t="str">
        <f t="shared" si="36"/>
        <v/>
      </c>
      <c r="U80" t="str">
        <f t="shared" si="37"/>
        <v/>
      </c>
      <c r="V80" s="5" t="s">
        <v>39</v>
      </c>
      <c r="W80" t="str">
        <f t="shared" si="38"/>
        <v/>
      </c>
      <c r="X80" t="str">
        <f t="shared" si="39"/>
        <v/>
      </c>
      <c r="Y80" s="5" t="s">
        <v>39</v>
      </c>
      <c r="Z80" t="str">
        <f t="shared" si="40"/>
        <v/>
      </c>
      <c r="AA80" t="str">
        <f t="shared" si="41"/>
        <v/>
      </c>
      <c r="AB80" s="5" t="s">
        <v>39</v>
      </c>
    </row>
    <row r="81" spans="1:28" x14ac:dyDescent="0.25">
      <c r="A81" s="5" t="s">
        <v>42</v>
      </c>
      <c r="B81" s="5" t="s">
        <v>33</v>
      </c>
      <c r="C81" s="5" t="str">
        <f t="shared" si="26"/>
        <v>description,dailCompDescSoldier,</v>
      </c>
      <c r="D81" s="5" t="str">
        <f t="shared" si="27"/>
        <v>itemText,dailCompTextSoldier,</v>
      </c>
      <c r="E81" s="5" t="s">
        <v>32</v>
      </c>
      <c r="F81" s="5" t="str">
        <f t="shared" si="28"/>
        <v>augmentSkillName1,records/skills,</v>
      </c>
      <c r="G81" s="7" t="str">
        <f t="shared" si="42"/>
        <v/>
      </c>
      <c r="H81" s="8" t="str">
        <f t="shared" si="43"/>
        <v>Soldier</v>
      </c>
      <c r="J81" s="8" t="str">
        <f t="shared" si="44"/>
        <v>class0001</v>
      </c>
      <c r="K81" s="8" t="str">
        <f t="shared" si="44"/>
        <v>dailoneskill0001</v>
      </c>
      <c r="L81" s="5" t="str">
        <f t="shared" si="29"/>
        <v>lootName,DAIL/items/materia/class0001/Soldier.dbr,</v>
      </c>
      <c r="M81" s="5" t="str">
        <f t="shared" si="30"/>
        <v>lootWeight,1,</v>
      </c>
      <c r="O81" t="str">
        <f t="shared" si="31"/>
        <v/>
      </c>
      <c r="P81" t="str">
        <f t="shared" si="32"/>
        <v/>
      </c>
      <c r="Q81" t="str">
        <f t="shared" si="33"/>
        <v/>
      </c>
      <c r="R81" t="str">
        <f t="shared" si="34"/>
        <v/>
      </c>
      <c r="S81" t="str">
        <f t="shared" si="35"/>
        <v/>
      </c>
      <c r="T81" t="str">
        <f t="shared" si="36"/>
        <v/>
      </c>
      <c r="U81" t="str">
        <f t="shared" si="37"/>
        <v/>
      </c>
      <c r="V81" s="5" t="s">
        <v>39</v>
      </c>
      <c r="W81" t="str">
        <f t="shared" si="38"/>
        <v/>
      </c>
      <c r="X81" t="str">
        <f t="shared" si="39"/>
        <v/>
      </c>
      <c r="Y81" s="5" t="s">
        <v>39</v>
      </c>
      <c r="Z81" t="str">
        <f t="shared" si="40"/>
        <v/>
      </c>
      <c r="AA81" t="str">
        <f t="shared" si="41"/>
        <v/>
      </c>
      <c r="AB81" s="5" t="s">
        <v>39</v>
      </c>
    </row>
    <row r="82" spans="1:28" x14ac:dyDescent="0.25">
      <c r="A82" s="5" t="s">
        <v>42</v>
      </c>
      <c r="B82" s="5" t="s">
        <v>33</v>
      </c>
      <c r="C82" s="5" t="str">
        <f t="shared" si="26"/>
        <v>description,dailCompDescSoldier,</v>
      </c>
      <c r="D82" s="5" t="str">
        <f t="shared" si="27"/>
        <v>itemText,dailCompTextSoldier,</v>
      </c>
      <c r="E82" s="5" t="s">
        <v>32</v>
      </c>
      <c r="F82" s="5" t="str">
        <f t="shared" si="28"/>
        <v>augmentSkillName1,records/skills,</v>
      </c>
      <c r="G82" s="7" t="str">
        <f t="shared" si="42"/>
        <v/>
      </c>
      <c r="H82" s="8" t="str">
        <f t="shared" si="43"/>
        <v>Soldier</v>
      </c>
      <c r="J82" s="8" t="str">
        <f t="shared" si="44"/>
        <v>class0001</v>
      </c>
      <c r="K82" s="8" t="str">
        <f t="shared" si="44"/>
        <v>dailoneskill0001</v>
      </c>
      <c r="L82" s="5" t="str">
        <f t="shared" si="29"/>
        <v>lootName,DAIL/items/materia/class0001/Soldier.dbr,</v>
      </c>
      <c r="M82" s="5" t="str">
        <f t="shared" si="30"/>
        <v>lootWeight,1,</v>
      </c>
      <c r="O82" t="str">
        <f t="shared" si="31"/>
        <v/>
      </c>
      <c r="P82" t="str">
        <f t="shared" si="32"/>
        <v/>
      </c>
      <c r="Q82" t="str">
        <f t="shared" si="33"/>
        <v/>
      </c>
      <c r="R82" t="str">
        <f t="shared" si="34"/>
        <v/>
      </c>
      <c r="S82" t="str">
        <f t="shared" si="35"/>
        <v/>
      </c>
      <c r="T82" t="str">
        <f t="shared" si="36"/>
        <v/>
      </c>
      <c r="U82" t="str">
        <f t="shared" si="37"/>
        <v/>
      </c>
      <c r="V82" s="5" t="s">
        <v>39</v>
      </c>
      <c r="W82" t="str">
        <f t="shared" si="38"/>
        <v/>
      </c>
      <c r="X82" t="str">
        <f t="shared" si="39"/>
        <v/>
      </c>
      <c r="Y82" s="5" t="s">
        <v>39</v>
      </c>
      <c r="Z82" t="str">
        <f t="shared" si="40"/>
        <v/>
      </c>
      <c r="AA82" t="str">
        <f t="shared" si="41"/>
        <v/>
      </c>
      <c r="AB82" s="5" t="s">
        <v>39</v>
      </c>
    </row>
    <row r="83" spans="1:28" x14ac:dyDescent="0.25">
      <c r="A83" s="5" t="s">
        <v>42</v>
      </c>
      <c r="B83" s="5" t="s">
        <v>33</v>
      </c>
      <c r="C83" s="5" t="str">
        <f t="shared" si="26"/>
        <v>description,dailCompDescSoldier,</v>
      </c>
      <c r="D83" s="5" t="str">
        <f t="shared" si="27"/>
        <v>itemText,dailCompTextSoldier,</v>
      </c>
      <c r="E83" s="5" t="s">
        <v>32</v>
      </c>
      <c r="F83" s="5" t="str">
        <f t="shared" si="28"/>
        <v>augmentSkillName1,records/skills,</v>
      </c>
      <c r="G83" s="7" t="str">
        <f t="shared" si="42"/>
        <v/>
      </c>
      <c r="H83" s="8" t="str">
        <f t="shared" si="43"/>
        <v>Soldier</v>
      </c>
      <c r="J83" s="8" t="str">
        <f t="shared" si="44"/>
        <v>class0001</v>
      </c>
      <c r="K83" s="8" t="str">
        <f t="shared" si="44"/>
        <v>dailoneskill0001</v>
      </c>
      <c r="L83" s="5" t="str">
        <f t="shared" si="29"/>
        <v>lootName,DAIL/items/materia/class0001/Soldier.dbr,</v>
      </c>
      <c r="M83" s="5" t="str">
        <f t="shared" si="30"/>
        <v>lootWeight,1,</v>
      </c>
      <c r="O83" t="str">
        <f t="shared" si="31"/>
        <v/>
      </c>
      <c r="P83" t="str">
        <f t="shared" si="32"/>
        <v/>
      </c>
      <c r="Q83" t="str">
        <f t="shared" si="33"/>
        <v/>
      </c>
      <c r="R83" t="str">
        <f t="shared" si="34"/>
        <v/>
      </c>
      <c r="S83" t="str">
        <f t="shared" si="35"/>
        <v/>
      </c>
      <c r="T83" t="str">
        <f t="shared" si="36"/>
        <v/>
      </c>
      <c r="U83" t="str">
        <f t="shared" si="37"/>
        <v/>
      </c>
      <c r="V83" s="5" t="s">
        <v>39</v>
      </c>
      <c r="W83" t="str">
        <f t="shared" si="38"/>
        <v/>
      </c>
      <c r="X83" t="str">
        <f t="shared" si="39"/>
        <v/>
      </c>
      <c r="Y83" s="5" t="s">
        <v>39</v>
      </c>
      <c r="Z83" t="str">
        <f t="shared" si="40"/>
        <v/>
      </c>
      <c r="AA83" t="str">
        <f t="shared" si="41"/>
        <v/>
      </c>
      <c r="AB83" s="5" t="s">
        <v>39</v>
      </c>
    </row>
    <row r="84" spans="1:28" x14ac:dyDescent="0.25">
      <c r="A84" s="5" t="s">
        <v>42</v>
      </c>
      <c r="B84" s="5" t="s">
        <v>33</v>
      </c>
      <c r="C84" s="5" t="str">
        <f t="shared" si="26"/>
        <v>description,dailCompDescSoldier,</v>
      </c>
      <c r="D84" s="5" t="str">
        <f t="shared" si="27"/>
        <v>itemText,dailCompTextSoldier,</v>
      </c>
      <c r="E84" s="5" t="s">
        <v>32</v>
      </c>
      <c r="F84" s="5" t="str">
        <f t="shared" si="28"/>
        <v>augmentSkillName1,records/skills,</v>
      </c>
      <c r="G84" s="7" t="str">
        <f t="shared" si="42"/>
        <v/>
      </c>
      <c r="H84" s="8" t="str">
        <f t="shared" si="43"/>
        <v>Soldier</v>
      </c>
      <c r="J84" s="8" t="str">
        <f t="shared" si="44"/>
        <v>class0001</v>
      </c>
      <c r="K84" s="8" t="str">
        <f t="shared" si="44"/>
        <v>dailoneskill0001</v>
      </c>
      <c r="L84" s="5" t="str">
        <f t="shared" si="29"/>
        <v>lootName,DAIL/items/materia/class0001/Soldier.dbr,</v>
      </c>
      <c r="M84" s="5" t="str">
        <f t="shared" si="30"/>
        <v>lootWeight,1,</v>
      </c>
      <c r="O84" t="str">
        <f t="shared" si="31"/>
        <v/>
      </c>
      <c r="P84" t="str">
        <f t="shared" si="32"/>
        <v/>
      </c>
      <c r="Q84" t="str">
        <f t="shared" si="33"/>
        <v/>
      </c>
      <c r="R84" t="str">
        <f t="shared" si="34"/>
        <v/>
      </c>
      <c r="S84" t="str">
        <f t="shared" si="35"/>
        <v/>
      </c>
      <c r="T84" t="str">
        <f t="shared" si="36"/>
        <v/>
      </c>
      <c r="U84" t="str">
        <f t="shared" si="37"/>
        <v/>
      </c>
      <c r="V84" s="5" t="s">
        <v>39</v>
      </c>
      <c r="W84" t="str">
        <f t="shared" si="38"/>
        <v/>
      </c>
      <c r="X84" t="str">
        <f t="shared" si="39"/>
        <v/>
      </c>
      <c r="Y84" s="5" t="s">
        <v>39</v>
      </c>
      <c r="Z84" t="str">
        <f t="shared" si="40"/>
        <v/>
      </c>
      <c r="AA84" t="str">
        <f t="shared" si="41"/>
        <v/>
      </c>
      <c r="AB84" s="5" t="s">
        <v>39</v>
      </c>
    </row>
    <row r="85" spans="1:28" x14ac:dyDescent="0.25">
      <c r="A85" s="5" t="s">
        <v>42</v>
      </c>
      <c r="B85" s="5" t="s">
        <v>33</v>
      </c>
      <c r="C85" s="5" t="str">
        <f t="shared" si="26"/>
        <v>description,dailCompDescSoldier,</v>
      </c>
      <c r="D85" s="5" t="str">
        <f t="shared" si="27"/>
        <v>itemText,dailCompTextSoldier,</v>
      </c>
      <c r="E85" s="5" t="s">
        <v>32</v>
      </c>
      <c r="F85" s="5" t="str">
        <f t="shared" si="28"/>
        <v>augmentSkillName1,records/skills,</v>
      </c>
      <c r="G85" s="7" t="str">
        <f t="shared" si="42"/>
        <v/>
      </c>
      <c r="H85" s="8" t="str">
        <f t="shared" si="43"/>
        <v>Soldier</v>
      </c>
      <c r="J85" s="8" t="str">
        <f t="shared" si="44"/>
        <v>class0001</v>
      </c>
      <c r="K85" s="8" t="str">
        <f t="shared" si="44"/>
        <v>dailoneskill0001</v>
      </c>
      <c r="L85" s="5" t="str">
        <f t="shared" si="29"/>
        <v>lootName,DAIL/items/materia/class0001/Soldier.dbr,</v>
      </c>
      <c r="M85" s="5" t="str">
        <f t="shared" si="30"/>
        <v>lootWeight,1,</v>
      </c>
      <c r="O85" t="str">
        <f t="shared" si="31"/>
        <v/>
      </c>
      <c r="P85" t="str">
        <f t="shared" si="32"/>
        <v/>
      </c>
      <c r="Q85" t="str">
        <f t="shared" si="33"/>
        <v/>
      </c>
      <c r="R85" t="str">
        <f t="shared" si="34"/>
        <v/>
      </c>
      <c r="S85" t="str">
        <f t="shared" si="35"/>
        <v/>
      </c>
      <c r="T85" t="str">
        <f t="shared" si="36"/>
        <v/>
      </c>
      <c r="U85" t="str">
        <f t="shared" si="37"/>
        <v/>
      </c>
      <c r="V85" s="5" t="s">
        <v>39</v>
      </c>
      <c r="W85" t="str">
        <f t="shared" si="38"/>
        <v/>
      </c>
      <c r="X85" t="str">
        <f t="shared" si="39"/>
        <v/>
      </c>
      <c r="Y85" s="5" t="s">
        <v>39</v>
      </c>
      <c r="Z85" t="str">
        <f t="shared" si="40"/>
        <v/>
      </c>
      <c r="AA85" t="str">
        <f t="shared" si="41"/>
        <v/>
      </c>
      <c r="AB85" s="5" t="s">
        <v>39</v>
      </c>
    </row>
    <row r="86" spans="1:28" x14ac:dyDescent="0.25">
      <c r="A86" s="5" t="s">
        <v>42</v>
      </c>
      <c r="B86" s="5" t="s">
        <v>33</v>
      </c>
      <c r="C86" s="5" t="str">
        <f t="shared" si="26"/>
        <v>description,dailCompDescSoldier,</v>
      </c>
      <c r="D86" s="5" t="str">
        <f t="shared" si="27"/>
        <v>itemText,dailCompTextSoldier,</v>
      </c>
      <c r="E86" s="5" t="s">
        <v>32</v>
      </c>
      <c r="F86" s="5" t="str">
        <f t="shared" si="28"/>
        <v>augmentSkillName1,records/skills,</v>
      </c>
      <c r="G86" s="7" t="str">
        <f t="shared" si="42"/>
        <v/>
      </c>
      <c r="H86" s="8" t="str">
        <f t="shared" si="43"/>
        <v>Soldier</v>
      </c>
      <c r="J86" s="8" t="str">
        <f t="shared" si="44"/>
        <v>class0001</v>
      </c>
      <c r="K86" s="8" t="str">
        <f t="shared" si="44"/>
        <v>dailoneskill0001</v>
      </c>
      <c r="L86" s="5" t="str">
        <f t="shared" si="29"/>
        <v>lootName,DAIL/items/materia/class0001/Soldier.dbr,</v>
      </c>
      <c r="M86" s="5" t="str">
        <f t="shared" si="30"/>
        <v>lootWeight,1,</v>
      </c>
      <c r="O86" t="str">
        <f t="shared" si="31"/>
        <v/>
      </c>
      <c r="P86" t="str">
        <f t="shared" si="32"/>
        <v/>
      </c>
      <c r="Q86" t="str">
        <f t="shared" si="33"/>
        <v/>
      </c>
      <c r="R86" t="str">
        <f t="shared" si="34"/>
        <v/>
      </c>
      <c r="S86" t="str">
        <f t="shared" si="35"/>
        <v/>
      </c>
      <c r="T86" t="str">
        <f t="shared" si="36"/>
        <v/>
      </c>
      <c r="U86" t="str">
        <f t="shared" si="37"/>
        <v/>
      </c>
      <c r="V86" s="5" t="s">
        <v>39</v>
      </c>
      <c r="W86" t="str">
        <f t="shared" si="38"/>
        <v/>
      </c>
      <c r="X86" t="str">
        <f t="shared" si="39"/>
        <v/>
      </c>
      <c r="Y86" s="5" t="s">
        <v>39</v>
      </c>
      <c r="Z86" t="str">
        <f t="shared" si="40"/>
        <v/>
      </c>
      <c r="AA86" t="str">
        <f t="shared" si="41"/>
        <v/>
      </c>
      <c r="AB86" s="5" t="s">
        <v>39</v>
      </c>
    </row>
    <row r="87" spans="1:28" x14ac:dyDescent="0.25">
      <c r="A87" s="5" t="s">
        <v>42</v>
      </c>
      <c r="B87" s="5" t="s">
        <v>33</v>
      </c>
      <c r="C87" s="5" t="str">
        <f t="shared" si="26"/>
        <v>description,dailCompDescSoldier,</v>
      </c>
      <c r="D87" s="5" t="str">
        <f t="shared" si="27"/>
        <v>itemText,dailCompTextSoldier,</v>
      </c>
      <c r="E87" s="5" t="s">
        <v>32</v>
      </c>
      <c r="F87" s="5" t="str">
        <f t="shared" si="28"/>
        <v>augmentSkillName1,records/skills,</v>
      </c>
      <c r="G87" s="7" t="str">
        <f t="shared" si="42"/>
        <v/>
      </c>
      <c r="H87" s="8" t="str">
        <f t="shared" si="43"/>
        <v>Soldier</v>
      </c>
      <c r="J87" s="8" t="str">
        <f t="shared" si="44"/>
        <v>class0001</v>
      </c>
      <c r="K87" s="8" t="str">
        <f t="shared" si="44"/>
        <v>dailoneskill0001</v>
      </c>
      <c r="L87" s="5" t="str">
        <f t="shared" si="29"/>
        <v>lootName,DAIL/items/materia/class0001/Soldier.dbr,</v>
      </c>
      <c r="M87" s="5" t="str">
        <f t="shared" si="30"/>
        <v>lootWeight,1,</v>
      </c>
      <c r="O87" t="str">
        <f t="shared" si="31"/>
        <v/>
      </c>
      <c r="P87" t="str">
        <f t="shared" si="32"/>
        <v/>
      </c>
      <c r="Q87" t="str">
        <f t="shared" si="33"/>
        <v/>
      </c>
      <c r="R87" t="str">
        <f t="shared" si="34"/>
        <v/>
      </c>
      <c r="S87" t="str">
        <f t="shared" si="35"/>
        <v/>
      </c>
      <c r="T87" t="str">
        <f t="shared" si="36"/>
        <v/>
      </c>
      <c r="U87" t="str">
        <f t="shared" si="37"/>
        <v/>
      </c>
      <c r="V87" s="5" t="s">
        <v>39</v>
      </c>
      <c r="W87" t="str">
        <f t="shared" si="38"/>
        <v/>
      </c>
      <c r="X87" t="str">
        <f t="shared" si="39"/>
        <v/>
      </c>
      <c r="Y87" s="5" t="s">
        <v>39</v>
      </c>
      <c r="Z87" t="str">
        <f t="shared" si="40"/>
        <v/>
      </c>
      <c r="AA87" t="str">
        <f t="shared" si="41"/>
        <v/>
      </c>
      <c r="AB87" s="5" t="s">
        <v>39</v>
      </c>
    </row>
    <row r="88" spans="1:28" x14ac:dyDescent="0.25">
      <c r="A88" s="5" t="s">
        <v>42</v>
      </c>
      <c r="B88" s="5" t="s">
        <v>33</v>
      </c>
      <c r="C88" s="5" t="str">
        <f t="shared" si="26"/>
        <v>description,dailCompDescSoldier,</v>
      </c>
      <c r="D88" s="5" t="str">
        <f t="shared" si="27"/>
        <v>itemText,dailCompTextSoldier,</v>
      </c>
      <c r="E88" s="5" t="s">
        <v>32</v>
      </c>
      <c r="F88" s="5" t="str">
        <f t="shared" si="28"/>
        <v>augmentSkillName1,records/skills,</v>
      </c>
      <c r="G88" s="7" t="str">
        <f t="shared" si="42"/>
        <v/>
      </c>
      <c r="H88" s="8" t="str">
        <f t="shared" si="43"/>
        <v>Soldier</v>
      </c>
      <c r="J88" s="8" t="str">
        <f t="shared" si="44"/>
        <v>class0001</v>
      </c>
      <c r="K88" s="8" t="str">
        <f t="shared" si="44"/>
        <v>dailoneskill0001</v>
      </c>
      <c r="L88" s="5" t="str">
        <f t="shared" si="29"/>
        <v>lootName,DAIL/items/materia/class0001/Soldier.dbr,</v>
      </c>
      <c r="M88" s="5" t="str">
        <f t="shared" si="30"/>
        <v>lootWeight,1,</v>
      </c>
      <c r="O88" t="str">
        <f t="shared" si="31"/>
        <v/>
      </c>
      <c r="P88" t="str">
        <f t="shared" si="32"/>
        <v/>
      </c>
      <c r="Q88" t="str">
        <f t="shared" si="33"/>
        <v/>
      </c>
      <c r="R88" t="str">
        <f t="shared" si="34"/>
        <v/>
      </c>
      <c r="S88" t="str">
        <f t="shared" si="35"/>
        <v/>
      </c>
      <c r="T88" t="str">
        <f t="shared" si="36"/>
        <v/>
      </c>
      <c r="U88" t="str">
        <f t="shared" si="37"/>
        <v/>
      </c>
      <c r="V88" s="5" t="s">
        <v>39</v>
      </c>
      <c r="W88" t="str">
        <f t="shared" si="38"/>
        <v/>
      </c>
      <c r="X88" t="str">
        <f t="shared" si="39"/>
        <v/>
      </c>
      <c r="Y88" s="5" t="s">
        <v>39</v>
      </c>
      <c r="Z88" t="str">
        <f t="shared" si="40"/>
        <v/>
      </c>
      <c r="AA88" t="str">
        <f t="shared" si="41"/>
        <v/>
      </c>
      <c r="AB88" s="5" t="s">
        <v>39</v>
      </c>
    </row>
    <row r="89" spans="1:28" x14ac:dyDescent="0.25">
      <c r="A89" s="5" t="s">
        <v>42</v>
      </c>
      <c r="B89" s="5" t="s">
        <v>33</v>
      </c>
      <c r="C89" s="5" t="str">
        <f t="shared" si="26"/>
        <v>description,dailCompDescSoldier,</v>
      </c>
      <c r="D89" s="5" t="str">
        <f t="shared" si="27"/>
        <v>itemText,dailCompTextSoldier,</v>
      </c>
      <c r="E89" s="5" t="s">
        <v>32</v>
      </c>
      <c r="F89" s="5" t="str">
        <f t="shared" si="28"/>
        <v>augmentSkillName1,records/skills,</v>
      </c>
      <c r="G89" s="7" t="str">
        <f t="shared" si="42"/>
        <v/>
      </c>
      <c r="H89" s="8" t="str">
        <f t="shared" si="43"/>
        <v>Soldier</v>
      </c>
      <c r="J89" s="8" t="str">
        <f t="shared" si="44"/>
        <v>class0001</v>
      </c>
      <c r="K89" s="8" t="str">
        <f t="shared" si="44"/>
        <v>dailoneskill0001</v>
      </c>
      <c r="L89" s="5" t="str">
        <f t="shared" si="29"/>
        <v>lootName,DAIL/items/materia/class0001/Soldier.dbr,</v>
      </c>
      <c r="M89" s="5" t="str">
        <f t="shared" si="30"/>
        <v>lootWeight,1,</v>
      </c>
      <c r="O89" t="str">
        <f t="shared" si="31"/>
        <v/>
      </c>
      <c r="P89" t="str">
        <f t="shared" si="32"/>
        <v/>
      </c>
      <c r="Q89" t="str">
        <f t="shared" si="33"/>
        <v/>
      </c>
      <c r="R89" t="str">
        <f t="shared" si="34"/>
        <v/>
      </c>
      <c r="S89" t="str">
        <f t="shared" si="35"/>
        <v/>
      </c>
      <c r="T89" t="str">
        <f t="shared" si="36"/>
        <v/>
      </c>
      <c r="U89" t="str">
        <f t="shared" si="37"/>
        <v/>
      </c>
      <c r="V89" s="5" t="s">
        <v>39</v>
      </c>
      <c r="W89" t="str">
        <f t="shared" si="38"/>
        <v/>
      </c>
      <c r="X89" t="str">
        <f t="shared" si="39"/>
        <v/>
      </c>
      <c r="Y89" s="5" t="s">
        <v>39</v>
      </c>
      <c r="Z89" t="str">
        <f t="shared" si="40"/>
        <v/>
      </c>
      <c r="AA89" t="str">
        <f t="shared" si="41"/>
        <v/>
      </c>
      <c r="AB89" s="5" t="s">
        <v>39</v>
      </c>
    </row>
    <row r="90" spans="1:28" x14ac:dyDescent="0.25">
      <c r="A90" s="5" t="s">
        <v>42</v>
      </c>
      <c r="B90" s="5" t="s">
        <v>33</v>
      </c>
      <c r="C90" s="5" t="str">
        <f t="shared" si="26"/>
        <v>description,dailCompDescSoldier,</v>
      </c>
      <c r="D90" s="5" t="str">
        <f t="shared" si="27"/>
        <v>itemText,dailCompTextSoldier,</v>
      </c>
      <c r="E90" s="5" t="s">
        <v>32</v>
      </c>
      <c r="F90" s="5" t="str">
        <f t="shared" si="28"/>
        <v>augmentSkillName1,records/skills,</v>
      </c>
      <c r="G90" s="7" t="str">
        <f t="shared" si="42"/>
        <v/>
      </c>
      <c r="H90" s="8" t="str">
        <f t="shared" si="43"/>
        <v>Soldier</v>
      </c>
      <c r="J90" s="8" t="str">
        <f t="shared" si="44"/>
        <v>class0001</v>
      </c>
      <c r="K90" s="8" t="str">
        <f t="shared" si="44"/>
        <v>dailoneskill0001</v>
      </c>
      <c r="L90" s="5" t="str">
        <f t="shared" si="29"/>
        <v>lootName,DAIL/items/materia/class0001/Soldier.dbr,</v>
      </c>
      <c r="M90" s="5" t="str">
        <f t="shared" si="30"/>
        <v>lootWeight,1,</v>
      </c>
      <c r="O90" t="str">
        <f t="shared" si="31"/>
        <v/>
      </c>
      <c r="P90" t="str">
        <f t="shared" si="32"/>
        <v/>
      </c>
      <c r="Q90" t="str">
        <f t="shared" si="33"/>
        <v/>
      </c>
      <c r="R90" t="str">
        <f t="shared" si="34"/>
        <v/>
      </c>
      <c r="S90" t="str">
        <f t="shared" si="35"/>
        <v/>
      </c>
      <c r="T90" t="str">
        <f t="shared" si="36"/>
        <v/>
      </c>
      <c r="U90" t="str">
        <f t="shared" si="37"/>
        <v/>
      </c>
      <c r="V90" s="5" t="s">
        <v>39</v>
      </c>
      <c r="W90" t="str">
        <f t="shared" si="38"/>
        <v/>
      </c>
      <c r="X90" t="str">
        <f t="shared" si="39"/>
        <v/>
      </c>
      <c r="Y90" s="5" t="s">
        <v>39</v>
      </c>
      <c r="Z90" t="str">
        <f t="shared" si="40"/>
        <v/>
      </c>
      <c r="AA90" t="str">
        <f t="shared" si="41"/>
        <v/>
      </c>
      <c r="AB90" s="5" t="s">
        <v>39</v>
      </c>
    </row>
    <row r="91" spans="1:28" x14ac:dyDescent="0.25">
      <c r="A91" s="5" t="s">
        <v>42</v>
      </c>
      <c r="B91" s="5" t="s">
        <v>33</v>
      </c>
      <c r="C91" s="5" t="str">
        <f t="shared" si="26"/>
        <v>description,dailCompDescSoldier,</v>
      </c>
      <c r="D91" s="5" t="str">
        <f t="shared" si="27"/>
        <v>itemText,dailCompTextSoldier,</v>
      </c>
      <c r="E91" s="5" t="s">
        <v>32</v>
      </c>
      <c r="F91" s="5" t="str">
        <f t="shared" si="28"/>
        <v>augmentSkillName1,records/skills,</v>
      </c>
      <c r="G91" s="7" t="str">
        <f t="shared" si="42"/>
        <v/>
      </c>
      <c r="H91" s="8" t="str">
        <f t="shared" si="43"/>
        <v>Soldier</v>
      </c>
      <c r="J91" s="8" t="str">
        <f t="shared" si="44"/>
        <v>class0001</v>
      </c>
      <c r="K91" s="8" t="str">
        <f t="shared" si="44"/>
        <v>dailoneskill0001</v>
      </c>
      <c r="L91" s="5" t="str">
        <f t="shared" si="29"/>
        <v>lootName,DAIL/items/materia/class0001/Soldier.dbr,</v>
      </c>
      <c r="M91" s="5" t="str">
        <f t="shared" si="30"/>
        <v>lootWeight,1,</v>
      </c>
      <c r="O91" t="str">
        <f t="shared" si="31"/>
        <v/>
      </c>
      <c r="P91" t="str">
        <f t="shared" si="32"/>
        <v/>
      </c>
      <c r="Q91" t="str">
        <f t="shared" si="33"/>
        <v/>
      </c>
      <c r="R91" t="str">
        <f t="shared" si="34"/>
        <v/>
      </c>
      <c r="S91" t="str">
        <f t="shared" si="35"/>
        <v/>
      </c>
      <c r="T91" t="str">
        <f t="shared" si="36"/>
        <v/>
      </c>
      <c r="U91" t="str">
        <f t="shared" si="37"/>
        <v/>
      </c>
      <c r="V91" s="5" t="s">
        <v>39</v>
      </c>
      <c r="W91" t="str">
        <f t="shared" si="38"/>
        <v/>
      </c>
      <c r="X91" t="str">
        <f t="shared" si="39"/>
        <v/>
      </c>
      <c r="Y91" s="5" t="s">
        <v>39</v>
      </c>
      <c r="Z91" t="str">
        <f t="shared" si="40"/>
        <v/>
      </c>
      <c r="AA91" t="str">
        <f t="shared" si="41"/>
        <v/>
      </c>
      <c r="AB91" s="5" t="s">
        <v>39</v>
      </c>
    </row>
    <row r="92" spans="1:28" x14ac:dyDescent="0.25">
      <c r="A92" s="5" t="s">
        <v>42</v>
      </c>
      <c r="B92" s="5" t="s">
        <v>33</v>
      </c>
      <c r="C92" s="5" t="str">
        <f t="shared" si="26"/>
        <v>description,dailCompDescSoldier,</v>
      </c>
      <c r="D92" s="5" t="str">
        <f t="shared" si="27"/>
        <v>itemText,dailCompTextSoldier,</v>
      </c>
      <c r="E92" s="5" t="s">
        <v>32</v>
      </c>
      <c r="F92" s="5" t="str">
        <f t="shared" si="28"/>
        <v>augmentSkillName1,records/skills,</v>
      </c>
      <c r="G92" s="7" t="str">
        <f t="shared" si="42"/>
        <v/>
      </c>
      <c r="H92" s="8" t="str">
        <f t="shared" si="43"/>
        <v>Soldier</v>
      </c>
      <c r="J92" s="8" t="str">
        <f t="shared" si="44"/>
        <v>class0001</v>
      </c>
      <c r="K92" s="8" t="str">
        <f t="shared" si="44"/>
        <v>dailoneskill0001</v>
      </c>
      <c r="L92" s="5" t="str">
        <f t="shared" si="29"/>
        <v>lootName,DAIL/items/materia/class0001/Soldier.dbr,</v>
      </c>
      <c r="M92" s="5" t="str">
        <f t="shared" si="30"/>
        <v>lootWeight,1,</v>
      </c>
      <c r="O92" t="str">
        <f t="shared" si="31"/>
        <v/>
      </c>
      <c r="P92" t="str">
        <f t="shared" si="32"/>
        <v/>
      </c>
      <c r="Q92" t="str">
        <f t="shared" si="33"/>
        <v/>
      </c>
      <c r="R92" t="str">
        <f t="shared" si="34"/>
        <v/>
      </c>
      <c r="S92" t="str">
        <f t="shared" si="35"/>
        <v/>
      </c>
      <c r="T92" t="str">
        <f t="shared" si="36"/>
        <v/>
      </c>
      <c r="U92" t="str">
        <f t="shared" si="37"/>
        <v/>
      </c>
      <c r="V92" s="5" t="s">
        <v>39</v>
      </c>
      <c r="W92" t="str">
        <f t="shared" si="38"/>
        <v/>
      </c>
      <c r="X92" t="str">
        <f t="shared" si="39"/>
        <v/>
      </c>
      <c r="Y92" s="5" t="s">
        <v>39</v>
      </c>
      <c r="Z92" t="str">
        <f t="shared" si="40"/>
        <v/>
      </c>
      <c r="AA92" t="str">
        <f t="shared" si="41"/>
        <v/>
      </c>
      <c r="AB92" s="5" t="s">
        <v>39</v>
      </c>
    </row>
    <row r="93" spans="1:28" x14ac:dyDescent="0.25">
      <c r="A93" s="5" t="s">
        <v>42</v>
      </c>
      <c r="B93" s="5" t="s">
        <v>33</v>
      </c>
      <c r="C93" s="5" t="str">
        <f t="shared" si="26"/>
        <v>description,dailCompDescSoldier,</v>
      </c>
      <c r="D93" s="5" t="str">
        <f t="shared" si="27"/>
        <v>itemText,dailCompTextSoldier,</v>
      </c>
      <c r="E93" s="5" t="s">
        <v>32</v>
      </c>
      <c r="F93" s="5" t="str">
        <f t="shared" si="28"/>
        <v>augmentSkillName1,records/skills,</v>
      </c>
      <c r="G93" s="7" t="str">
        <f t="shared" si="42"/>
        <v/>
      </c>
      <c r="H93" s="8" t="str">
        <f t="shared" si="43"/>
        <v>Soldier</v>
      </c>
      <c r="J93" s="8" t="str">
        <f t="shared" si="44"/>
        <v>class0001</v>
      </c>
      <c r="K93" s="8" t="str">
        <f t="shared" si="44"/>
        <v>dailoneskill0001</v>
      </c>
      <c r="L93" s="5" t="str">
        <f t="shared" si="29"/>
        <v>lootName,DAIL/items/materia/class0001/Soldier.dbr,</v>
      </c>
      <c r="M93" s="5" t="str">
        <f t="shared" si="30"/>
        <v>lootWeight,1,</v>
      </c>
      <c r="O93" t="str">
        <f t="shared" si="31"/>
        <v/>
      </c>
      <c r="P93" t="str">
        <f t="shared" si="32"/>
        <v/>
      </c>
      <c r="Q93" t="str">
        <f t="shared" si="33"/>
        <v/>
      </c>
      <c r="R93" t="str">
        <f t="shared" si="34"/>
        <v/>
      </c>
      <c r="S93" t="str">
        <f t="shared" si="35"/>
        <v/>
      </c>
      <c r="T93" t="str">
        <f t="shared" si="36"/>
        <v/>
      </c>
      <c r="U93" t="str">
        <f t="shared" si="37"/>
        <v/>
      </c>
      <c r="V93" s="5" t="s">
        <v>39</v>
      </c>
      <c r="W93" t="str">
        <f t="shared" si="38"/>
        <v/>
      </c>
      <c r="X93" t="str">
        <f t="shared" si="39"/>
        <v/>
      </c>
      <c r="Y93" s="5" t="s">
        <v>39</v>
      </c>
      <c r="Z93" t="str">
        <f t="shared" si="40"/>
        <v/>
      </c>
      <c r="AA93" t="str">
        <f t="shared" si="41"/>
        <v/>
      </c>
      <c r="AB93" s="5" t="s">
        <v>39</v>
      </c>
    </row>
    <row r="94" spans="1:28" x14ac:dyDescent="0.25">
      <c r="A94" s="5" t="s">
        <v>42</v>
      </c>
      <c r="B94" s="5" t="s">
        <v>33</v>
      </c>
      <c r="C94" s="5" t="str">
        <f t="shared" si="26"/>
        <v>description,dailCompDescSoldier,</v>
      </c>
      <c r="D94" s="5" t="str">
        <f t="shared" si="27"/>
        <v>itemText,dailCompTextSoldier,</v>
      </c>
      <c r="E94" s="5" t="s">
        <v>32</v>
      </c>
      <c r="F94" s="5" t="str">
        <f t="shared" si="28"/>
        <v>augmentSkillName1,records/skills,</v>
      </c>
      <c r="G94" s="7" t="str">
        <f t="shared" si="42"/>
        <v/>
      </c>
      <c r="H94" s="8" t="str">
        <f t="shared" si="43"/>
        <v>Soldier</v>
      </c>
      <c r="J94" s="8" t="str">
        <f t="shared" si="44"/>
        <v>class0001</v>
      </c>
      <c r="K94" s="8" t="str">
        <f t="shared" si="44"/>
        <v>dailoneskill0001</v>
      </c>
      <c r="L94" s="5" t="str">
        <f t="shared" si="29"/>
        <v>lootName,DAIL/items/materia/class0001/Soldier.dbr,</v>
      </c>
      <c r="M94" s="5" t="str">
        <f t="shared" si="30"/>
        <v>lootWeight,1,</v>
      </c>
      <c r="O94" t="str">
        <f t="shared" si="31"/>
        <v/>
      </c>
      <c r="P94" t="str">
        <f t="shared" si="32"/>
        <v/>
      </c>
      <c r="Q94" t="str">
        <f t="shared" si="33"/>
        <v/>
      </c>
      <c r="R94" t="str">
        <f t="shared" si="34"/>
        <v/>
      </c>
      <c r="S94" t="str">
        <f t="shared" si="35"/>
        <v/>
      </c>
      <c r="T94" t="str">
        <f t="shared" si="36"/>
        <v/>
      </c>
      <c r="U94" t="str">
        <f t="shared" si="37"/>
        <v/>
      </c>
      <c r="V94" s="5" t="s">
        <v>39</v>
      </c>
      <c r="W94" t="str">
        <f t="shared" si="38"/>
        <v/>
      </c>
      <c r="X94" t="str">
        <f t="shared" si="39"/>
        <v/>
      </c>
      <c r="Y94" s="5" t="s">
        <v>39</v>
      </c>
      <c r="Z94" t="str">
        <f t="shared" si="40"/>
        <v/>
      </c>
      <c r="AA94" t="str">
        <f t="shared" si="41"/>
        <v/>
      </c>
      <c r="AB94" s="5" t="s">
        <v>39</v>
      </c>
    </row>
    <row r="95" spans="1:28" x14ac:dyDescent="0.25">
      <c r="A95" s="5" t="s">
        <v>42</v>
      </c>
      <c r="B95" s="5" t="s">
        <v>33</v>
      </c>
      <c r="C95" s="5" t="str">
        <f t="shared" si="26"/>
        <v>description,dailCompDescSoldier,</v>
      </c>
      <c r="D95" s="5" t="str">
        <f t="shared" si="27"/>
        <v>itemText,dailCompTextSoldier,</v>
      </c>
      <c r="E95" s="5" t="s">
        <v>32</v>
      </c>
      <c r="F95" s="5" t="str">
        <f t="shared" si="28"/>
        <v>augmentSkillName1,records/skills,</v>
      </c>
      <c r="G95" s="7" t="str">
        <f t="shared" si="42"/>
        <v/>
      </c>
      <c r="H95" s="8" t="str">
        <f t="shared" si="43"/>
        <v>Soldier</v>
      </c>
      <c r="J95" s="8" t="str">
        <f t="shared" si="44"/>
        <v>class0001</v>
      </c>
      <c r="K95" s="8" t="str">
        <f t="shared" si="44"/>
        <v>dailoneskill0001</v>
      </c>
      <c r="L95" s="5" t="str">
        <f t="shared" si="29"/>
        <v>lootName,DAIL/items/materia/class0001/Soldier.dbr,</v>
      </c>
      <c r="M95" s="5" t="str">
        <f t="shared" si="30"/>
        <v>lootWeight,1,</v>
      </c>
      <c r="O95" t="str">
        <f t="shared" si="31"/>
        <v/>
      </c>
      <c r="P95" t="str">
        <f t="shared" si="32"/>
        <v/>
      </c>
      <c r="Q95" t="str">
        <f t="shared" si="33"/>
        <v/>
      </c>
      <c r="R95" t="str">
        <f t="shared" si="34"/>
        <v/>
      </c>
      <c r="S95" t="str">
        <f t="shared" si="35"/>
        <v/>
      </c>
      <c r="T95" t="str">
        <f t="shared" si="36"/>
        <v/>
      </c>
      <c r="U95" t="str">
        <f t="shared" si="37"/>
        <v/>
      </c>
      <c r="V95" s="5" t="s">
        <v>39</v>
      </c>
      <c r="W95" t="str">
        <f t="shared" si="38"/>
        <v/>
      </c>
      <c r="X95" t="str">
        <f t="shared" si="39"/>
        <v/>
      </c>
      <c r="Y95" s="5" t="s">
        <v>39</v>
      </c>
      <c r="Z95" t="str">
        <f t="shared" si="40"/>
        <v/>
      </c>
      <c r="AA95" t="str">
        <f t="shared" si="41"/>
        <v/>
      </c>
      <c r="AB95" s="5" t="s">
        <v>39</v>
      </c>
    </row>
    <row r="96" spans="1:28" x14ac:dyDescent="0.25">
      <c r="A96" s="5" t="s">
        <v>42</v>
      </c>
      <c r="B96" s="5" t="s">
        <v>33</v>
      </c>
      <c r="C96" s="5" t="str">
        <f t="shared" si="26"/>
        <v>description,dailCompDescSoldier,</v>
      </c>
      <c r="D96" s="5" t="str">
        <f t="shared" si="27"/>
        <v>itemText,dailCompTextSoldier,</v>
      </c>
      <c r="E96" s="5" t="s">
        <v>32</v>
      </c>
      <c r="F96" s="5" t="str">
        <f t="shared" si="28"/>
        <v>augmentSkillName1,records/skills,</v>
      </c>
      <c r="G96" s="7" t="str">
        <f t="shared" si="42"/>
        <v/>
      </c>
      <c r="H96" s="8" t="str">
        <f t="shared" si="43"/>
        <v>Soldier</v>
      </c>
      <c r="J96" s="8" t="str">
        <f t="shared" si="44"/>
        <v>class0001</v>
      </c>
      <c r="K96" s="8" t="str">
        <f t="shared" si="44"/>
        <v>dailoneskill0001</v>
      </c>
      <c r="L96" s="5" t="str">
        <f t="shared" si="29"/>
        <v>lootName,DAIL/items/materia/class0001/Soldier.dbr,</v>
      </c>
      <c r="M96" s="5" t="str">
        <f t="shared" si="30"/>
        <v>lootWeight,1,</v>
      </c>
      <c r="O96" t="str">
        <f t="shared" si="31"/>
        <v/>
      </c>
      <c r="P96" t="str">
        <f t="shared" si="32"/>
        <v/>
      </c>
      <c r="Q96" t="str">
        <f t="shared" si="33"/>
        <v/>
      </c>
      <c r="R96" t="str">
        <f t="shared" si="34"/>
        <v/>
      </c>
      <c r="S96" t="str">
        <f t="shared" si="35"/>
        <v/>
      </c>
      <c r="T96" t="str">
        <f t="shared" si="36"/>
        <v/>
      </c>
      <c r="U96" t="str">
        <f t="shared" si="37"/>
        <v/>
      </c>
      <c r="V96" s="5" t="s">
        <v>39</v>
      </c>
      <c r="W96" t="str">
        <f t="shared" si="38"/>
        <v/>
      </c>
      <c r="X96" t="str">
        <f t="shared" si="39"/>
        <v/>
      </c>
      <c r="Y96" s="5" t="s">
        <v>39</v>
      </c>
      <c r="Z96" t="str">
        <f t="shared" si="40"/>
        <v/>
      </c>
      <c r="AA96" t="str">
        <f t="shared" si="41"/>
        <v/>
      </c>
      <c r="AB96" s="5" t="s">
        <v>39</v>
      </c>
    </row>
    <row r="97" spans="1:28" x14ac:dyDescent="0.25">
      <c r="A97" s="5" t="s">
        <v>42</v>
      </c>
      <c r="B97" s="5" t="s">
        <v>33</v>
      </c>
      <c r="C97" s="5" t="str">
        <f t="shared" si="26"/>
        <v>description,dailCompDescSoldier,</v>
      </c>
      <c r="D97" s="5" t="str">
        <f t="shared" si="27"/>
        <v>itemText,dailCompTextSoldier,</v>
      </c>
      <c r="E97" s="5" t="s">
        <v>32</v>
      </c>
      <c r="F97" s="5" t="str">
        <f t="shared" si="28"/>
        <v>augmentSkillName1,records/skills,</v>
      </c>
      <c r="G97" s="7" t="str">
        <f t="shared" si="42"/>
        <v/>
      </c>
      <c r="H97" s="8" t="str">
        <f t="shared" si="43"/>
        <v>Soldier</v>
      </c>
      <c r="J97" s="8" t="str">
        <f t="shared" si="44"/>
        <v>class0001</v>
      </c>
      <c r="K97" s="8" t="str">
        <f t="shared" si="44"/>
        <v>dailoneskill0001</v>
      </c>
      <c r="L97" s="5" t="str">
        <f t="shared" si="29"/>
        <v>lootName,DAIL/items/materia/class0001/Soldier.dbr,</v>
      </c>
      <c r="M97" s="5" t="str">
        <f t="shared" si="30"/>
        <v>lootWeight,1,</v>
      </c>
      <c r="O97" t="str">
        <f t="shared" si="31"/>
        <v/>
      </c>
      <c r="P97" t="str">
        <f t="shared" si="32"/>
        <v/>
      </c>
      <c r="Q97" t="str">
        <f t="shared" si="33"/>
        <v/>
      </c>
      <c r="R97" t="str">
        <f t="shared" si="34"/>
        <v/>
      </c>
      <c r="S97" t="str">
        <f t="shared" si="35"/>
        <v/>
      </c>
      <c r="T97" t="str">
        <f t="shared" si="36"/>
        <v/>
      </c>
      <c r="U97" t="str">
        <f t="shared" si="37"/>
        <v/>
      </c>
      <c r="V97" s="5" t="s">
        <v>39</v>
      </c>
      <c r="W97" t="str">
        <f t="shared" si="38"/>
        <v/>
      </c>
      <c r="X97" t="str">
        <f t="shared" si="39"/>
        <v/>
      </c>
      <c r="Y97" s="5" t="s">
        <v>39</v>
      </c>
      <c r="Z97" t="str">
        <f t="shared" si="40"/>
        <v/>
      </c>
      <c r="AA97" t="str">
        <f t="shared" si="41"/>
        <v/>
      </c>
      <c r="AB97" s="5" t="s">
        <v>39</v>
      </c>
    </row>
    <row r="98" spans="1:28" x14ac:dyDescent="0.25">
      <c r="A98" s="5" t="s">
        <v>42</v>
      </c>
      <c r="B98" s="5" t="s">
        <v>33</v>
      </c>
      <c r="C98" s="5" t="str">
        <f t="shared" si="26"/>
        <v>description,dailCompDescSoldier,</v>
      </c>
      <c r="D98" s="5" t="str">
        <f t="shared" si="27"/>
        <v>itemText,dailCompTextSoldier,</v>
      </c>
      <c r="E98" s="5" t="s">
        <v>32</v>
      </c>
      <c r="F98" s="5" t="str">
        <f t="shared" si="28"/>
        <v>augmentSkillName1,records/skills,</v>
      </c>
      <c r="G98" s="7" t="str">
        <f t="shared" si="42"/>
        <v/>
      </c>
      <c r="H98" s="8" t="str">
        <f t="shared" si="43"/>
        <v>Soldier</v>
      </c>
      <c r="J98" s="8" t="str">
        <f t="shared" si="44"/>
        <v>class0001</v>
      </c>
      <c r="K98" s="8" t="str">
        <f t="shared" si="44"/>
        <v>dailoneskill0001</v>
      </c>
      <c r="L98" s="5" t="str">
        <f t="shared" si="29"/>
        <v>lootName,DAIL/items/materia/class0001/Soldier.dbr,</v>
      </c>
      <c r="M98" s="5" t="str">
        <f t="shared" si="30"/>
        <v>lootWeight,1,</v>
      </c>
      <c r="O98" t="str">
        <f t="shared" si="31"/>
        <v/>
      </c>
      <c r="P98" t="str">
        <f t="shared" si="32"/>
        <v/>
      </c>
      <c r="Q98" t="str">
        <f t="shared" si="33"/>
        <v/>
      </c>
      <c r="R98" t="str">
        <f t="shared" si="34"/>
        <v/>
      </c>
      <c r="S98" t="str">
        <f t="shared" si="35"/>
        <v/>
      </c>
      <c r="T98" t="str">
        <f t="shared" si="36"/>
        <v/>
      </c>
      <c r="U98" t="str">
        <f t="shared" si="37"/>
        <v/>
      </c>
      <c r="V98" s="5" t="s">
        <v>39</v>
      </c>
      <c r="W98" t="str">
        <f t="shared" si="38"/>
        <v/>
      </c>
      <c r="X98" t="str">
        <f t="shared" si="39"/>
        <v/>
      </c>
      <c r="Y98" s="5" t="s">
        <v>39</v>
      </c>
      <c r="Z98" t="str">
        <f t="shared" si="40"/>
        <v/>
      </c>
      <c r="AA98" t="str">
        <f t="shared" si="41"/>
        <v/>
      </c>
      <c r="AB98" s="5" t="s">
        <v>39</v>
      </c>
    </row>
    <row r="99" spans="1:28" x14ac:dyDescent="0.25">
      <c r="A99" s="5" t="s">
        <v>42</v>
      </c>
      <c r="B99" s="5" t="s">
        <v>33</v>
      </c>
      <c r="C99" s="5" t="str">
        <f t="shared" si="26"/>
        <v>description,dailCompDescSoldier,</v>
      </c>
      <c r="D99" s="5" t="str">
        <f t="shared" si="27"/>
        <v>itemText,dailCompTextSoldier,</v>
      </c>
      <c r="E99" s="5" t="s">
        <v>32</v>
      </c>
      <c r="F99" s="5" t="str">
        <f t="shared" si="28"/>
        <v>augmentSkillName1,records/skills,</v>
      </c>
      <c r="G99" s="7" t="str">
        <f t="shared" si="42"/>
        <v/>
      </c>
      <c r="H99" s="8" t="str">
        <f t="shared" si="43"/>
        <v>Soldier</v>
      </c>
      <c r="J99" s="8" t="str">
        <f t="shared" si="44"/>
        <v>class0001</v>
      </c>
      <c r="K99" s="8" t="str">
        <f t="shared" si="44"/>
        <v>dailoneskill0001</v>
      </c>
      <c r="L99" s="5" t="str">
        <f t="shared" si="29"/>
        <v>lootName,DAIL/items/materia/class0001/Soldier.dbr,</v>
      </c>
      <c r="M99" s="5" t="str">
        <f t="shared" si="30"/>
        <v>lootWeight,1,</v>
      </c>
      <c r="O99" t="str">
        <f t="shared" si="31"/>
        <v/>
      </c>
      <c r="P99" t="str">
        <f t="shared" si="32"/>
        <v/>
      </c>
      <c r="Q99" t="str">
        <f t="shared" si="33"/>
        <v/>
      </c>
      <c r="R99" t="str">
        <f t="shared" si="34"/>
        <v/>
      </c>
      <c r="S99" t="str">
        <f t="shared" si="35"/>
        <v/>
      </c>
      <c r="T99" t="str">
        <f t="shared" si="36"/>
        <v/>
      </c>
      <c r="U99" t="str">
        <f t="shared" si="37"/>
        <v/>
      </c>
      <c r="V99" s="5" t="s">
        <v>39</v>
      </c>
      <c r="W99" t="str">
        <f t="shared" si="38"/>
        <v/>
      </c>
      <c r="X99" t="str">
        <f t="shared" si="39"/>
        <v/>
      </c>
      <c r="Y99" s="5" t="s">
        <v>39</v>
      </c>
      <c r="Z99" t="str">
        <f t="shared" si="40"/>
        <v/>
      </c>
      <c r="AA99" t="str">
        <f t="shared" si="41"/>
        <v/>
      </c>
      <c r="AB99" s="5" t="s">
        <v>39</v>
      </c>
    </row>
    <row r="100" spans="1:28" x14ac:dyDescent="0.25">
      <c r="A100" s="5" t="s">
        <v>42</v>
      </c>
      <c r="B100" s="5" t="s">
        <v>33</v>
      </c>
      <c r="C100" s="5" t="str">
        <f t="shared" si="26"/>
        <v>description,dailCompDescSoldier,</v>
      </c>
      <c r="D100" s="5" t="str">
        <f t="shared" si="27"/>
        <v>itemText,dailCompTextSoldier,</v>
      </c>
      <c r="E100" s="5" t="s">
        <v>32</v>
      </c>
      <c r="F100" s="5" t="str">
        <f t="shared" si="28"/>
        <v>augmentSkillName1,records/skills,</v>
      </c>
      <c r="G100" s="7" t="str">
        <f t="shared" si="42"/>
        <v/>
      </c>
      <c r="H100" s="8" t="str">
        <f t="shared" si="43"/>
        <v>Soldier</v>
      </c>
      <c r="J100" s="8" t="str">
        <f t="shared" si="44"/>
        <v>class0001</v>
      </c>
      <c r="K100" s="8" t="str">
        <f t="shared" si="44"/>
        <v>dailoneskill0001</v>
      </c>
      <c r="L100" s="5" t="str">
        <f t="shared" si="29"/>
        <v>lootName,DAIL/items/materia/class0001/Soldier.dbr,</v>
      </c>
      <c r="M100" s="5" t="str">
        <f t="shared" si="30"/>
        <v>lootWeight,1,</v>
      </c>
      <c r="O100" t="str">
        <f t="shared" si="31"/>
        <v/>
      </c>
      <c r="P100" t="str">
        <f t="shared" si="32"/>
        <v/>
      </c>
      <c r="Q100" t="str">
        <f t="shared" si="33"/>
        <v/>
      </c>
      <c r="R100" t="str">
        <f t="shared" si="34"/>
        <v/>
      </c>
      <c r="S100" t="str">
        <f t="shared" si="35"/>
        <v/>
      </c>
      <c r="T100" t="str">
        <f t="shared" si="36"/>
        <v/>
      </c>
      <c r="U100" t="str">
        <f t="shared" si="37"/>
        <v/>
      </c>
      <c r="V100" s="5" t="s">
        <v>39</v>
      </c>
      <c r="W100" t="str">
        <f t="shared" si="38"/>
        <v/>
      </c>
      <c r="X100" t="str">
        <f t="shared" si="39"/>
        <v/>
      </c>
      <c r="Y100" s="5" t="s">
        <v>39</v>
      </c>
      <c r="Z100" t="str">
        <f t="shared" si="40"/>
        <v/>
      </c>
      <c r="AA100" t="str">
        <f t="shared" si="41"/>
        <v/>
      </c>
      <c r="AB100" s="5" t="s">
        <v>39</v>
      </c>
    </row>
    <row r="101" spans="1:28" x14ac:dyDescent="0.25">
      <c r="A101" s="5" t="s">
        <v>42</v>
      </c>
      <c r="B101" s="5" t="s">
        <v>33</v>
      </c>
      <c r="C101" s="5" t="str">
        <f t="shared" si="26"/>
        <v>description,dailCompDescSoldier,</v>
      </c>
      <c r="D101" s="5" t="str">
        <f t="shared" si="27"/>
        <v>itemText,dailCompTextSoldier,</v>
      </c>
      <c r="E101" s="5" t="s">
        <v>32</v>
      </c>
      <c r="F101" s="5" t="str">
        <f t="shared" si="28"/>
        <v>augmentSkillName1,records/skills,</v>
      </c>
      <c r="G101" s="7" t="str">
        <f t="shared" si="42"/>
        <v/>
      </c>
      <c r="H101" s="8" t="str">
        <f t="shared" si="43"/>
        <v>Soldier</v>
      </c>
      <c r="J101" s="8" t="str">
        <f t="shared" si="44"/>
        <v>class0001</v>
      </c>
      <c r="K101" s="8" t="str">
        <f t="shared" si="44"/>
        <v>dailoneskill0001</v>
      </c>
      <c r="L101" s="5" t="str">
        <f t="shared" si="29"/>
        <v>lootName,DAIL/items/materia/class0001/Soldier.dbr,</v>
      </c>
      <c r="M101" s="5" t="str">
        <f t="shared" si="30"/>
        <v>lootWeight,1,</v>
      </c>
      <c r="O101" t="str">
        <f t="shared" si="31"/>
        <v/>
      </c>
      <c r="P101" t="str">
        <f t="shared" si="32"/>
        <v/>
      </c>
      <c r="Q101" t="str">
        <f t="shared" si="33"/>
        <v/>
      </c>
      <c r="R101" t="str">
        <f t="shared" si="34"/>
        <v/>
      </c>
      <c r="S101" t="str">
        <f t="shared" si="35"/>
        <v/>
      </c>
      <c r="T101" t="str">
        <f t="shared" si="36"/>
        <v/>
      </c>
      <c r="U101" t="str">
        <f t="shared" si="37"/>
        <v/>
      </c>
      <c r="V101" s="5" t="s">
        <v>39</v>
      </c>
      <c r="W101" t="str">
        <f t="shared" si="38"/>
        <v/>
      </c>
      <c r="X101" t="str">
        <f t="shared" si="39"/>
        <v/>
      </c>
      <c r="Y101" s="5" t="s">
        <v>39</v>
      </c>
      <c r="Z101" t="str">
        <f t="shared" si="40"/>
        <v/>
      </c>
      <c r="AA101" t="str">
        <f t="shared" si="41"/>
        <v/>
      </c>
      <c r="AB101" s="5" t="s">
        <v>39</v>
      </c>
    </row>
    <row r="102" spans="1:28" x14ac:dyDescent="0.25">
      <c r="A102" s="5" t="s">
        <v>42</v>
      </c>
      <c r="B102" s="5" t="s">
        <v>33</v>
      </c>
      <c r="C102" s="5" t="str">
        <f t="shared" si="26"/>
        <v>description,dailCompDescSoldier,</v>
      </c>
      <c r="D102" s="5" t="str">
        <f t="shared" si="27"/>
        <v>itemText,dailCompTextSoldier,</v>
      </c>
      <c r="E102" s="5" t="s">
        <v>32</v>
      </c>
      <c r="F102" s="5" t="str">
        <f t="shared" si="28"/>
        <v>augmentSkillName1,records/skills,</v>
      </c>
      <c r="G102" s="7" t="str">
        <f t="shared" si="42"/>
        <v/>
      </c>
      <c r="H102" s="8" t="str">
        <f t="shared" si="43"/>
        <v>Soldier</v>
      </c>
      <c r="J102" s="8" t="str">
        <f t="shared" si="44"/>
        <v>class0001</v>
      </c>
      <c r="K102" s="8" t="str">
        <f t="shared" si="44"/>
        <v>dailoneskill0001</v>
      </c>
      <c r="L102" s="5" t="str">
        <f t="shared" si="29"/>
        <v>lootName,DAIL/items/materia/class0001/Soldier.dbr,</v>
      </c>
      <c r="M102" s="5" t="str">
        <f t="shared" si="30"/>
        <v>lootWeight,1,</v>
      </c>
      <c r="O102" t="str">
        <f t="shared" si="31"/>
        <v/>
      </c>
      <c r="P102" t="str">
        <f t="shared" si="32"/>
        <v/>
      </c>
      <c r="Q102" t="str">
        <f t="shared" si="33"/>
        <v/>
      </c>
      <c r="R102" t="str">
        <f t="shared" si="34"/>
        <v/>
      </c>
      <c r="S102" t="str">
        <f t="shared" si="35"/>
        <v/>
      </c>
      <c r="T102" t="str">
        <f t="shared" si="36"/>
        <v/>
      </c>
      <c r="U102" t="str">
        <f t="shared" si="37"/>
        <v/>
      </c>
      <c r="V102" s="5" t="s">
        <v>39</v>
      </c>
      <c r="W102" t="str">
        <f t="shared" si="38"/>
        <v/>
      </c>
      <c r="X102" t="str">
        <f t="shared" si="39"/>
        <v/>
      </c>
      <c r="Y102" s="5" t="s">
        <v>39</v>
      </c>
      <c r="Z102" t="str">
        <f t="shared" si="40"/>
        <v/>
      </c>
      <c r="AA102" t="str">
        <f t="shared" si="41"/>
        <v/>
      </c>
      <c r="AB102" s="5" t="s">
        <v>39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x</vt:lpstr>
      <vt:lpstr>x0001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2016-06-17T05:19:37Z</dcterms:modified>
</cp:coreProperties>
</file>