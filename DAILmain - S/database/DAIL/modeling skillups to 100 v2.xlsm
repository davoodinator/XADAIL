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SHTEEM\steamapps\common\Grim Dawn\mods\DAIL\database\DAIL\"/>
    </mc:Choice>
  </mc:AlternateContent>
  <bookViews>
    <workbookView xWindow="0" yWindow="0" windowWidth="28800" windowHeight="13020" tabRatio="797" activeTab="9"/>
  </bookViews>
  <sheets>
    <sheet name="class01" sheetId="4" r:id="rId1"/>
    <sheet name="class02" sheetId="5" r:id="rId2"/>
    <sheet name="class03" sheetId="7" r:id="rId3"/>
    <sheet name="class03pet" sheetId="6" r:id="rId4"/>
    <sheet name="class04" sheetId="8" r:id="rId5"/>
    <sheet name="class05" sheetId="9" r:id="rId6"/>
    <sheet name="class06" sheetId="10" r:id="rId7"/>
    <sheet name="class07" sheetId="1" r:id="rId8"/>
    <sheet name="class07petdb" sheetId="2" r:id="rId9"/>
    <sheet name="class08" sheetId="3" r:id="rId10"/>
    <sheet name="class10" sheetId="12" r:id="rId11"/>
    <sheet name="class11" sheetId="11" r:id="rId12"/>
    <sheet name="class12" sheetId="13" r:id="rId13"/>
    <sheet name="class13" sheetId="14" r:id="rId14"/>
    <sheet name="class16" sheetId="16" r:id="rId15"/>
    <sheet name="class17" sheetId="17" r:id="rId16"/>
    <sheet name="class18" sheetId="18" r:id="rId17"/>
    <sheet name="class19" sheetId="19" r:id="rId18"/>
    <sheet name="class20" sheetId="20" r:id="rId19"/>
    <sheet name="class21" sheetId="21" r:id="rId20"/>
    <sheet name="class22" sheetId="22" r:id="rId21"/>
    <sheet name="class23" sheetId="23" r:id="rId22"/>
    <sheet name="class24" sheetId="24" r:id="rId23"/>
    <sheet name="class27" sheetId="15" r:id="rId24"/>
    <sheet name="class29" sheetId="25" r:id="rId2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Y9" i="3" l="1"/>
  <c r="AZ9" i="3" s="1"/>
  <c r="BA9" i="3" s="1"/>
  <c r="BB9" i="3" s="1"/>
  <c r="BC9" i="3" s="1"/>
  <c r="BD9" i="3" s="1"/>
  <c r="BE9" i="3" s="1"/>
  <c r="BF9" i="3" s="1"/>
  <c r="BG9" i="3" s="1"/>
  <c r="BH9" i="3" s="1"/>
  <c r="BI9" i="3" s="1"/>
  <c r="BJ9" i="3" s="1"/>
  <c r="BK9" i="3" s="1"/>
  <c r="BL9" i="3" s="1"/>
  <c r="BM9" i="3" s="1"/>
  <c r="BN9" i="3" s="1"/>
  <c r="BO9" i="3" s="1"/>
  <c r="BP9" i="3" s="1"/>
  <c r="BQ9" i="3" s="1"/>
  <c r="BR9" i="3" s="1"/>
  <c r="BS9" i="3" s="1"/>
  <c r="BT9" i="3" s="1"/>
  <c r="BU9" i="3" s="1"/>
  <c r="BV9" i="3" s="1"/>
  <c r="BW9" i="3" s="1"/>
  <c r="BX9" i="3" s="1"/>
  <c r="BY9" i="3" s="1"/>
  <c r="BZ9" i="3" s="1"/>
  <c r="CA9" i="3" s="1"/>
  <c r="CB9" i="3" s="1"/>
  <c r="CC9" i="3" s="1"/>
  <c r="CD9" i="3" s="1"/>
  <c r="CE9" i="3" s="1"/>
  <c r="CF9" i="3" s="1"/>
  <c r="CG9" i="3" s="1"/>
  <c r="CH9" i="3" s="1"/>
  <c r="CI9" i="3" s="1"/>
  <c r="CJ9" i="3" s="1"/>
  <c r="CK9" i="3" s="1"/>
  <c r="CL9" i="3" s="1"/>
  <c r="CM9" i="3" s="1"/>
  <c r="CN9" i="3" s="1"/>
  <c r="CO9" i="3" s="1"/>
  <c r="CP9" i="3" s="1"/>
  <c r="CQ9" i="3" s="1"/>
  <c r="CR9" i="3" s="1"/>
  <c r="CS9" i="3" s="1"/>
  <c r="CT9" i="3" s="1"/>
  <c r="CU9" i="3" s="1"/>
  <c r="CV9" i="3" s="1"/>
  <c r="CW9" i="3" s="1"/>
  <c r="AY6" i="3"/>
  <c r="AZ6" i="3" s="1"/>
  <c r="BA6" i="3" s="1"/>
  <c r="BB6" i="3" s="1"/>
  <c r="BC6" i="3" s="1"/>
  <c r="BD6" i="3" s="1"/>
  <c r="BE6" i="3" s="1"/>
  <c r="BF6" i="3" s="1"/>
  <c r="BG6" i="3" s="1"/>
  <c r="BH6" i="3" s="1"/>
  <c r="BI6" i="3" s="1"/>
  <c r="BJ6" i="3" s="1"/>
  <c r="BK6" i="3" s="1"/>
  <c r="BL6" i="3" s="1"/>
  <c r="BM6" i="3" s="1"/>
  <c r="BN6" i="3" s="1"/>
  <c r="BO6" i="3" s="1"/>
  <c r="BP6" i="3" s="1"/>
  <c r="BQ6" i="3" s="1"/>
  <c r="BR6" i="3" s="1"/>
  <c r="BS6" i="3" s="1"/>
  <c r="BT6" i="3" s="1"/>
  <c r="BU6" i="3" s="1"/>
  <c r="BV6" i="3" s="1"/>
  <c r="BW6" i="3" s="1"/>
  <c r="BX6" i="3" s="1"/>
  <c r="BY6" i="3" s="1"/>
  <c r="BZ6" i="3" s="1"/>
  <c r="CA6" i="3" s="1"/>
  <c r="CB6" i="3" s="1"/>
  <c r="CC6" i="3" s="1"/>
  <c r="CD6" i="3" s="1"/>
  <c r="CE6" i="3" s="1"/>
  <c r="CF6" i="3" s="1"/>
  <c r="CG6" i="3" s="1"/>
  <c r="CH6" i="3" s="1"/>
  <c r="CI6" i="3" s="1"/>
  <c r="CJ6" i="3" s="1"/>
  <c r="CK6" i="3" s="1"/>
  <c r="CL6" i="3" s="1"/>
  <c r="CM6" i="3" s="1"/>
  <c r="CN6" i="3" s="1"/>
  <c r="CO6" i="3" s="1"/>
  <c r="CP6" i="3" s="1"/>
  <c r="CQ6" i="3" s="1"/>
  <c r="CR6" i="3" s="1"/>
  <c r="CS6" i="3" s="1"/>
  <c r="CT6" i="3" s="1"/>
  <c r="CU6" i="3" s="1"/>
  <c r="CV6" i="3" s="1"/>
  <c r="CW6" i="3" s="1"/>
  <c r="AY4" i="3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BL4" i="3" s="1"/>
  <c r="BM4" i="3" s="1"/>
  <c r="BN4" i="3" s="1"/>
  <c r="BO4" i="3" s="1"/>
  <c r="BP4" i="3" s="1"/>
  <c r="BQ4" i="3" s="1"/>
  <c r="BR4" i="3" s="1"/>
  <c r="BS4" i="3" s="1"/>
  <c r="BT4" i="3" s="1"/>
  <c r="BU4" i="3" s="1"/>
  <c r="BV4" i="3" s="1"/>
  <c r="BW4" i="3" s="1"/>
  <c r="BX4" i="3" s="1"/>
  <c r="BY4" i="3" s="1"/>
  <c r="BZ4" i="3" s="1"/>
  <c r="CA4" i="3" s="1"/>
  <c r="CB4" i="3" s="1"/>
  <c r="CC4" i="3" s="1"/>
  <c r="CD4" i="3" s="1"/>
  <c r="CE4" i="3" s="1"/>
  <c r="CF4" i="3" s="1"/>
  <c r="CG4" i="3" s="1"/>
  <c r="CH4" i="3" s="1"/>
  <c r="CI4" i="3" s="1"/>
  <c r="CJ4" i="3" s="1"/>
  <c r="CK4" i="3" s="1"/>
  <c r="CL4" i="3" s="1"/>
  <c r="CM4" i="3" s="1"/>
  <c r="CN4" i="3" s="1"/>
  <c r="CO4" i="3" s="1"/>
  <c r="CP4" i="3" s="1"/>
  <c r="CQ4" i="3" s="1"/>
  <c r="CR4" i="3" s="1"/>
  <c r="CS4" i="3" s="1"/>
  <c r="CT4" i="3" s="1"/>
  <c r="CU4" i="3" s="1"/>
  <c r="CV4" i="3" s="1"/>
  <c r="CW4" i="3" s="1"/>
  <c r="A7" i="3"/>
  <c r="A6" i="3"/>
  <c r="A4" i="3"/>
  <c r="A8" i="3"/>
  <c r="A5" i="3"/>
  <c r="A3" i="3"/>
  <c r="A2" i="3"/>
  <c r="A10" i="3"/>
  <c r="A9" i="3"/>
  <c r="A1" i="3"/>
  <c r="D14" i="25" l="1"/>
  <c r="E14" i="25" s="1"/>
  <c r="F14" i="25" s="1"/>
  <c r="G14" i="25" s="1"/>
  <c r="H14" i="25" s="1"/>
  <c r="I14" i="25" s="1"/>
  <c r="J14" i="25" s="1"/>
  <c r="K14" i="25" s="1"/>
  <c r="L14" i="25" s="1"/>
  <c r="M14" i="25" s="1"/>
  <c r="N14" i="25" s="1"/>
  <c r="O14" i="25" s="1"/>
  <c r="P14" i="25" s="1"/>
  <c r="Q14" i="25" s="1"/>
  <c r="R14" i="25" s="1"/>
  <c r="S14" i="25" s="1"/>
  <c r="T14" i="25" s="1"/>
  <c r="U14" i="25" s="1"/>
  <c r="V14" i="25" s="1"/>
  <c r="W14" i="25" s="1"/>
  <c r="X14" i="25" s="1"/>
  <c r="Y14" i="25" s="1"/>
  <c r="Z14" i="25" s="1"/>
  <c r="AA14" i="25" s="1"/>
  <c r="AB14" i="25" s="1"/>
  <c r="AC14" i="25" s="1"/>
  <c r="AD14" i="25" s="1"/>
  <c r="AE14" i="25" s="1"/>
  <c r="AF14" i="25" s="1"/>
  <c r="AG14" i="25" s="1"/>
  <c r="AH14" i="25" s="1"/>
  <c r="AI14" i="25" s="1"/>
  <c r="AJ14" i="25" s="1"/>
  <c r="AK14" i="25" s="1"/>
  <c r="AL14" i="25" s="1"/>
  <c r="AM14" i="25" s="1"/>
  <c r="AN14" i="25" s="1"/>
  <c r="AO14" i="25" s="1"/>
  <c r="AP14" i="25" s="1"/>
  <c r="AQ14" i="25" s="1"/>
  <c r="AR14" i="25" s="1"/>
  <c r="AS14" i="25" s="1"/>
  <c r="AT14" i="25" s="1"/>
  <c r="AU14" i="25" s="1"/>
  <c r="AV14" i="25" s="1"/>
  <c r="AW14" i="25" s="1"/>
  <c r="AX14" i="25" s="1"/>
  <c r="AY14" i="25" s="1"/>
  <c r="AZ14" i="25" s="1"/>
  <c r="BA14" i="25" s="1"/>
  <c r="BB14" i="25" s="1"/>
  <c r="BC14" i="25" s="1"/>
  <c r="BD14" i="25" s="1"/>
  <c r="BE14" i="25" s="1"/>
  <c r="BF14" i="25" s="1"/>
  <c r="BG14" i="25" s="1"/>
  <c r="BH14" i="25" s="1"/>
  <c r="BI14" i="25" s="1"/>
  <c r="BJ14" i="25" s="1"/>
  <c r="BK14" i="25" s="1"/>
  <c r="BL14" i="25" s="1"/>
  <c r="BM14" i="25" s="1"/>
  <c r="BN14" i="25" s="1"/>
  <c r="BO14" i="25" s="1"/>
  <c r="BP14" i="25" s="1"/>
  <c r="BQ14" i="25" s="1"/>
  <c r="BR14" i="25" s="1"/>
  <c r="BS14" i="25" s="1"/>
  <c r="BT14" i="25" s="1"/>
  <c r="BU14" i="25" s="1"/>
  <c r="BV14" i="25" s="1"/>
  <c r="BW14" i="25" s="1"/>
  <c r="BX14" i="25" s="1"/>
  <c r="BY14" i="25" s="1"/>
  <c r="BZ14" i="25" s="1"/>
  <c r="CA14" i="25" s="1"/>
  <c r="CB14" i="25" s="1"/>
  <c r="CC14" i="25" s="1"/>
  <c r="CD14" i="25" s="1"/>
  <c r="CE14" i="25" s="1"/>
  <c r="CF14" i="25" s="1"/>
  <c r="CG14" i="25" s="1"/>
  <c r="CH14" i="25" s="1"/>
  <c r="CI14" i="25" s="1"/>
  <c r="CJ14" i="25" s="1"/>
  <c r="CK14" i="25" s="1"/>
  <c r="CL14" i="25" s="1"/>
  <c r="CM14" i="25" s="1"/>
  <c r="CN14" i="25" s="1"/>
  <c r="CO14" i="25" s="1"/>
  <c r="CP14" i="25" s="1"/>
  <c r="CQ14" i="25" s="1"/>
  <c r="CR14" i="25" s="1"/>
  <c r="CS14" i="25" s="1"/>
  <c r="CT14" i="25" s="1"/>
  <c r="CU14" i="25" s="1"/>
  <c r="CV14" i="25" s="1"/>
  <c r="CW14" i="25" s="1"/>
  <c r="A11" i="25"/>
  <c r="A5" i="25"/>
  <c r="A7" i="25"/>
  <c r="A10" i="25"/>
  <c r="A3" i="25"/>
  <c r="A4" i="25"/>
  <c r="A9" i="25"/>
  <c r="A2" i="25"/>
  <c r="A1" i="25"/>
  <c r="A8" i="25"/>
  <c r="A6" i="25"/>
  <c r="BV10" i="16" l="1"/>
  <c r="BW10" i="16" s="1"/>
  <c r="BX10" i="16" s="1"/>
  <c r="BY10" i="16" s="1"/>
  <c r="BZ10" i="16" s="1"/>
  <c r="CA10" i="16" s="1"/>
  <c r="CB10" i="16" s="1"/>
  <c r="CC10" i="16" s="1"/>
  <c r="CD10" i="16" s="1"/>
  <c r="CE10" i="16" s="1"/>
  <c r="CF10" i="16" s="1"/>
  <c r="CG10" i="16" s="1"/>
  <c r="CH10" i="16" s="1"/>
  <c r="CI10" i="16" s="1"/>
  <c r="CJ10" i="16" s="1"/>
  <c r="CK10" i="16" s="1"/>
  <c r="CL10" i="16" s="1"/>
  <c r="CM10" i="16" s="1"/>
  <c r="CN10" i="16" s="1"/>
  <c r="CO10" i="16" s="1"/>
  <c r="CP10" i="16" s="1"/>
  <c r="CQ10" i="16" s="1"/>
  <c r="CR10" i="16" s="1"/>
  <c r="CS10" i="16" s="1"/>
  <c r="CT10" i="16" s="1"/>
  <c r="CU10" i="16" s="1"/>
  <c r="CV10" i="16" s="1"/>
  <c r="BV9" i="16"/>
  <c r="BW9" i="16" s="1"/>
  <c r="BX9" i="16" s="1"/>
  <c r="BY9" i="16" s="1"/>
  <c r="BZ9" i="16" s="1"/>
  <c r="CA9" i="16" s="1"/>
  <c r="CB9" i="16" s="1"/>
  <c r="CC9" i="16" s="1"/>
  <c r="CD9" i="16" s="1"/>
  <c r="CE9" i="16" s="1"/>
  <c r="CF9" i="16" s="1"/>
  <c r="CG9" i="16" s="1"/>
  <c r="CH9" i="16" s="1"/>
  <c r="CI9" i="16" s="1"/>
  <c r="CJ9" i="16" s="1"/>
  <c r="CK9" i="16" s="1"/>
  <c r="CL9" i="16" s="1"/>
  <c r="CM9" i="16" s="1"/>
  <c r="CN9" i="16" s="1"/>
  <c r="CO9" i="16" s="1"/>
  <c r="CP9" i="16" s="1"/>
  <c r="CQ9" i="16" s="1"/>
  <c r="CR9" i="16" s="1"/>
  <c r="CS9" i="16" s="1"/>
  <c r="CT9" i="16" s="1"/>
  <c r="CU9" i="16" s="1"/>
  <c r="CV9" i="16" s="1"/>
  <c r="BV8" i="16"/>
  <c r="BW8" i="16" s="1"/>
  <c r="BX8" i="16" s="1"/>
  <c r="BY8" i="16" s="1"/>
  <c r="BZ8" i="16" s="1"/>
  <c r="CA8" i="16" s="1"/>
  <c r="CB8" i="16" s="1"/>
  <c r="CC8" i="16" s="1"/>
  <c r="CD8" i="16" s="1"/>
  <c r="CE8" i="16" s="1"/>
  <c r="CF8" i="16" s="1"/>
  <c r="CG8" i="16" s="1"/>
  <c r="CH8" i="16" s="1"/>
  <c r="CI8" i="16" s="1"/>
  <c r="CJ8" i="16" s="1"/>
  <c r="CK8" i="16" s="1"/>
  <c r="CL8" i="16" s="1"/>
  <c r="CM8" i="16" s="1"/>
  <c r="CN8" i="16" s="1"/>
  <c r="CO8" i="16" s="1"/>
  <c r="CP8" i="16" s="1"/>
  <c r="CQ8" i="16" s="1"/>
  <c r="CR8" i="16" s="1"/>
  <c r="CS8" i="16" s="1"/>
  <c r="CT8" i="16" s="1"/>
  <c r="CU8" i="16" s="1"/>
  <c r="CV8" i="16" s="1"/>
  <c r="BV7" i="16"/>
  <c r="BW7" i="16" s="1"/>
  <c r="BX7" i="16" s="1"/>
  <c r="BY7" i="16" s="1"/>
  <c r="BZ7" i="16" s="1"/>
  <c r="CA7" i="16" s="1"/>
  <c r="CB7" i="16" s="1"/>
  <c r="CC7" i="16" s="1"/>
  <c r="CD7" i="16" s="1"/>
  <c r="CE7" i="16" s="1"/>
  <c r="CF7" i="16" s="1"/>
  <c r="CG7" i="16" s="1"/>
  <c r="CH7" i="16" s="1"/>
  <c r="CI7" i="16" s="1"/>
  <c r="CJ7" i="16" s="1"/>
  <c r="CK7" i="16" s="1"/>
  <c r="CL7" i="16" s="1"/>
  <c r="CM7" i="16" s="1"/>
  <c r="CN7" i="16" s="1"/>
  <c r="CO7" i="16" s="1"/>
  <c r="CP7" i="16" s="1"/>
  <c r="CQ7" i="16" s="1"/>
  <c r="CR7" i="16" s="1"/>
  <c r="CS7" i="16" s="1"/>
  <c r="CT7" i="16" s="1"/>
  <c r="CU7" i="16" s="1"/>
  <c r="CV7" i="16" s="1"/>
  <c r="BV6" i="16"/>
  <c r="BW6" i="16" s="1"/>
  <c r="BX6" i="16" s="1"/>
  <c r="BY6" i="16" s="1"/>
  <c r="BZ6" i="16" s="1"/>
  <c r="CA6" i="16" s="1"/>
  <c r="CB6" i="16" s="1"/>
  <c r="CC6" i="16" s="1"/>
  <c r="CD6" i="16" s="1"/>
  <c r="CE6" i="16" s="1"/>
  <c r="CF6" i="16" s="1"/>
  <c r="CG6" i="16" s="1"/>
  <c r="CH6" i="16" s="1"/>
  <c r="CI6" i="16" s="1"/>
  <c r="CJ6" i="16" s="1"/>
  <c r="CK6" i="16" s="1"/>
  <c r="CL6" i="16" s="1"/>
  <c r="CM6" i="16" s="1"/>
  <c r="CN6" i="16" s="1"/>
  <c r="CO6" i="16" s="1"/>
  <c r="CP6" i="16" s="1"/>
  <c r="CQ6" i="16" s="1"/>
  <c r="CR6" i="16" s="1"/>
  <c r="CS6" i="16" s="1"/>
  <c r="CT6" i="16" s="1"/>
  <c r="CU6" i="16" s="1"/>
  <c r="CV6" i="16" s="1"/>
  <c r="AZ5" i="16"/>
  <c r="BA5" i="16" s="1"/>
  <c r="BB5" i="16" s="1"/>
  <c r="BC5" i="16" s="1"/>
  <c r="BD5" i="16" s="1"/>
  <c r="BE5" i="16" s="1"/>
  <c r="BF5" i="16" s="1"/>
  <c r="BG5" i="16" s="1"/>
  <c r="BH5" i="16" s="1"/>
  <c r="BI5" i="16" s="1"/>
  <c r="BJ5" i="16" s="1"/>
  <c r="BK5" i="16" s="1"/>
  <c r="BL5" i="16" s="1"/>
  <c r="BM5" i="16" s="1"/>
  <c r="BN5" i="16" s="1"/>
  <c r="BO5" i="16" s="1"/>
  <c r="BP5" i="16" s="1"/>
  <c r="BQ5" i="16" s="1"/>
  <c r="BR5" i="16" s="1"/>
  <c r="BS5" i="16" s="1"/>
  <c r="BT5" i="16" s="1"/>
  <c r="BU5" i="16" s="1"/>
  <c r="BV5" i="16" s="1"/>
  <c r="BW5" i="16" s="1"/>
  <c r="BX5" i="16" s="1"/>
  <c r="BY5" i="16" s="1"/>
  <c r="BZ5" i="16" s="1"/>
  <c r="CA5" i="16" s="1"/>
  <c r="CB5" i="16" s="1"/>
  <c r="CC5" i="16" s="1"/>
  <c r="CD5" i="16" s="1"/>
  <c r="CE5" i="16" s="1"/>
  <c r="CF5" i="16" s="1"/>
  <c r="CG5" i="16" s="1"/>
  <c r="CH5" i="16" s="1"/>
  <c r="CI5" i="16" s="1"/>
  <c r="CJ5" i="16" s="1"/>
  <c r="CK5" i="16" s="1"/>
  <c r="CL5" i="16" s="1"/>
  <c r="CM5" i="16" s="1"/>
  <c r="CN5" i="16" s="1"/>
  <c r="CO5" i="16" s="1"/>
  <c r="CP5" i="16" s="1"/>
  <c r="CQ5" i="16" s="1"/>
  <c r="CR5" i="16" s="1"/>
  <c r="CS5" i="16" s="1"/>
  <c r="CT5" i="16" s="1"/>
  <c r="CU5" i="16" s="1"/>
  <c r="CV5" i="16" s="1"/>
  <c r="AZ4" i="16"/>
  <c r="BA4" i="16" s="1"/>
  <c r="BB4" i="16" s="1"/>
  <c r="BC4" i="16" s="1"/>
  <c r="BD4" i="16" s="1"/>
  <c r="BE4" i="16" s="1"/>
  <c r="BF4" i="16" s="1"/>
  <c r="BG4" i="16" s="1"/>
  <c r="BH4" i="16" s="1"/>
  <c r="BI4" i="16" s="1"/>
  <c r="BJ4" i="16" s="1"/>
  <c r="BK4" i="16" s="1"/>
  <c r="BL4" i="16" s="1"/>
  <c r="BM4" i="16" s="1"/>
  <c r="BN4" i="16" s="1"/>
  <c r="BO4" i="16" s="1"/>
  <c r="BP4" i="16" s="1"/>
  <c r="BQ4" i="16" s="1"/>
  <c r="BR4" i="16" s="1"/>
  <c r="BS4" i="16" s="1"/>
  <c r="BT4" i="16" s="1"/>
  <c r="BU4" i="16" s="1"/>
  <c r="BV4" i="16" s="1"/>
  <c r="BW4" i="16" s="1"/>
  <c r="BX4" i="16" s="1"/>
  <c r="BY4" i="16" s="1"/>
  <c r="BZ4" i="16" s="1"/>
  <c r="CA4" i="16" s="1"/>
  <c r="CB4" i="16" s="1"/>
  <c r="CC4" i="16" s="1"/>
  <c r="CD4" i="16" s="1"/>
  <c r="CE4" i="16" s="1"/>
  <c r="CF4" i="16" s="1"/>
  <c r="CG4" i="16" s="1"/>
  <c r="CH4" i="16" s="1"/>
  <c r="CI4" i="16" s="1"/>
  <c r="CJ4" i="16" s="1"/>
  <c r="CK4" i="16" s="1"/>
  <c r="CL4" i="16" s="1"/>
  <c r="CM4" i="16" s="1"/>
  <c r="CN4" i="16" s="1"/>
  <c r="CO4" i="16" s="1"/>
  <c r="CP4" i="16" s="1"/>
  <c r="CQ4" i="16" s="1"/>
  <c r="CR4" i="16" s="1"/>
  <c r="CS4" i="16" s="1"/>
  <c r="CT4" i="16" s="1"/>
  <c r="CU4" i="16" s="1"/>
  <c r="CV4" i="16" s="1"/>
  <c r="BA3" i="16"/>
  <c r="BB3" i="16" s="1"/>
  <c r="BC3" i="16" s="1"/>
  <c r="BD3" i="16" s="1"/>
  <c r="BE3" i="16" s="1"/>
  <c r="BF3" i="16" s="1"/>
  <c r="BG3" i="16" s="1"/>
  <c r="BH3" i="16" s="1"/>
  <c r="BI3" i="16" s="1"/>
  <c r="BJ3" i="16" s="1"/>
  <c r="BK3" i="16" s="1"/>
  <c r="BL3" i="16" s="1"/>
  <c r="BM3" i="16" s="1"/>
  <c r="BN3" i="16" s="1"/>
  <c r="BO3" i="16" s="1"/>
  <c r="BP3" i="16" s="1"/>
  <c r="BQ3" i="16" s="1"/>
  <c r="BR3" i="16" s="1"/>
  <c r="BS3" i="16" s="1"/>
  <c r="BT3" i="16" s="1"/>
  <c r="BU3" i="16" s="1"/>
  <c r="BV3" i="16" s="1"/>
  <c r="BW3" i="16" s="1"/>
  <c r="BX3" i="16" s="1"/>
  <c r="BY3" i="16" s="1"/>
  <c r="BZ3" i="16" s="1"/>
  <c r="CA3" i="16" s="1"/>
  <c r="CB3" i="16" s="1"/>
  <c r="CC3" i="16" s="1"/>
  <c r="CD3" i="16" s="1"/>
  <c r="CE3" i="16" s="1"/>
  <c r="CF3" i="16" s="1"/>
  <c r="CG3" i="16" s="1"/>
  <c r="CH3" i="16" s="1"/>
  <c r="CI3" i="16" s="1"/>
  <c r="CJ3" i="16" s="1"/>
  <c r="CK3" i="16" s="1"/>
  <c r="CL3" i="16" s="1"/>
  <c r="CM3" i="16" s="1"/>
  <c r="CN3" i="16" s="1"/>
  <c r="CO3" i="16" s="1"/>
  <c r="CP3" i="16" s="1"/>
  <c r="CQ3" i="16" s="1"/>
  <c r="CR3" i="16" s="1"/>
  <c r="CS3" i="16" s="1"/>
  <c r="CT3" i="16" s="1"/>
  <c r="CU3" i="16" s="1"/>
  <c r="CV3" i="16" s="1"/>
  <c r="AZ3" i="16"/>
  <c r="AZ2" i="16"/>
  <c r="BA2" i="16" s="1"/>
  <c r="BB2" i="16" s="1"/>
  <c r="BC2" i="16" s="1"/>
  <c r="BD2" i="16" s="1"/>
  <c r="BE2" i="16" s="1"/>
  <c r="BF2" i="16" s="1"/>
  <c r="BG2" i="16" s="1"/>
  <c r="BH2" i="16" s="1"/>
  <c r="BI2" i="16" s="1"/>
  <c r="BJ2" i="16" s="1"/>
  <c r="BK2" i="16" s="1"/>
  <c r="BL2" i="16" s="1"/>
  <c r="BM2" i="16" s="1"/>
  <c r="BN2" i="16" s="1"/>
  <c r="BO2" i="16" s="1"/>
  <c r="BP2" i="16" s="1"/>
  <c r="BQ2" i="16" s="1"/>
  <c r="BR2" i="16" s="1"/>
  <c r="BS2" i="16" s="1"/>
  <c r="BT2" i="16" s="1"/>
  <c r="BU2" i="16" s="1"/>
  <c r="BV2" i="16" s="1"/>
  <c r="BW2" i="16" s="1"/>
  <c r="BX2" i="16" s="1"/>
  <c r="BY2" i="16" s="1"/>
  <c r="BZ2" i="16" s="1"/>
  <c r="CA2" i="16" s="1"/>
  <c r="CB2" i="16" s="1"/>
  <c r="CC2" i="16" s="1"/>
  <c r="CD2" i="16" s="1"/>
  <c r="CE2" i="16" s="1"/>
  <c r="CF2" i="16" s="1"/>
  <c r="CG2" i="16" s="1"/>
  <c r="CH2" i="16" s="1"/>
  <c r="CI2" i="16" s="1"/>
  <c r="CJ2" i="16" s="1"/>
  <c r="CK2" i="16" s="1"/>
  <c r="CL2" i="16" s="1"/>
  <c r="CM2" i="16" s="1"/>
  <c r="CN2" i="16" s="1"/>
  <c r="CO2" i="16" s="1"/>
  <c r="CP2" i="16" s="1"/>
  <c r="CQ2" i="16" s="1"/>
  <c r="CR2" i="16" s="1"/>
  <c r="CS2" i="16" s="1"/>
  <c r="CT2" i="16" s="1"/>
  <c r="CU2" i="16" s="1"/>
  <c r="CV2" i="16" s="1"/>
  <c r="AZ1" i="16"/>
  <c r="BA1" i="16" s="1"/>
  <c r="BB1" i="16" s="1"/>
  <c r="BC1" i="16" s="1"/>
  <c r="BD1" i="16" s="1"/>
  <c r="BE1" i="16" s="1"/>
  <c r="BF1" i="16" s="1"/>
  <c r="BG1" i="16" s="1"/>
  <c r="BH1" i="16" s="1"/>
  <c r="BI1" i="16" s="1"/>
  <c r="BJ1" i="16" s="1"/>
  <c r="BK1" i="16" s="1"/>
  <c r="BL1" i="16" s="1"/>
  <c r="BM1" i="16" s="1"/>
  <c r="BN1" i="16" s="1"/>
  <c r="BO1" i="16" s="1"/>
  <c r="BP1" i="16" s="1"/>
  <c r="BQ1" i="16" s="1"/>
  <c r="BR1" i="16" s="1"/>
  <c r="BS1" i="16" s="1"/>
  <c r="BT1" i="16" s="1"/>
  <c r="BU1" i="16" s="1"/>
  <c r="BV1" i="16" s="1"/>
  <c r="BW1" i="16" s="1"/>
  <c r="BX1" i="16" s="1"/>
  <c r="BY1" i="16" s="1"/>
  <c r="BZ1" i="16" s="1"/>
  <c r="CA1" i="16" s="1"/>
  <c r="CB1" i="16" s="1"/>
  <c r="CC1" i="16" s="1"/>
  <c r="CD1" i="16" s="1"/>
  <c r="CE1" i="16" s="1"/>
  <c r="CF1" i="16" s="1"/>
  <c r="CG1" i="16" s="1"/>
  <c r="CH1" i="16" s="1"/>
  <c r="CI1" i="16" s="1"/>
  <c r="CJ1" i="16" s="1"/>
  <c r="CK1" i="16" s="1"/>
  <c r="CL1" i="16" s="1"/>
  <c r="CM1" i="16" s="1"/>
  <c r="CN1" i="16" s="1"/>
  <c r="CO1" i="16" s="1"/>
  <c r="CP1" i="16" s="1"/>
  <c r="CQ1" i="16" s="1"/>
  <c r="CR1" i="16" s="1"/>
  <c r="CS1" i="16" s="1"/>
  <c r="CT1" i="16" s="1"/>
  <c r="CU1" i="16" s="1"/>
  <c r="CV1" i="16" s="1"/>
  <c r="A9" i="24"/>
  <c r="A7" i="23"/>
  <c r="A2" i="22"/>
  <c r="A6" i="21"/>
  <c r="A2" i="19"/>
  <c r="A2" i="18"/>
  <c r="A3" i="24"/>
  <c r="A6" i="23"/>
  <c r="A9" i="22"/>
  <c r="A4" i="21"/>
  <c r="A9" i="19"/>
  <c r="A7" i="18"/>
  <c r="A8" i="24"/>
  <c r="A1" i="23"/>
  <c r="A8" i="22"/>
  <c r="A5" i="21"/>
  <c r="A3" i="19"/>
  <c r="A5" i="18"/>
  <c r="A8" i="23"/>
  <c r="A7" i="24"/>
  <c r="A5" i="23"/>
  <c r="A1" i="22"/>
  <c r="A1" i="20"/>
  <c r="A8" i="19"/>
  <c r="A6" i="18"/>
  <c r="A9" i="18"/>
  <c r="A7" i="21"/>
  <c r="A2" i="24"/>
  <c r="A4" i="23"/>
  <c r="A10" i="22"/>
  <c r="A8" i="20"/>
  <c r="A7" i="19"/>
  <c r="A4" i="18"/>
  <c r="A3" i="22"/>
  <c r="A6" i="24"/>
  <c r="A3" i="23"/>
  <c r="A10" i="21"/>
  <c r="A7" i="20"/>
  <c r="A6" i="19"/>
  <c r="A3" i="18"/>
  <c r="A8" i="18"/>
  <c r="A1" i="24"/>
  <c r="A2" i="23"/>
  <c r="A1" i="21"/>
  <c r="A6" i="20"/>
  <c r="A5" i="19"/>
  <c r="A1" i="18"/>
  <c r="A10" i="24"/>
  <c r="A5" i="24"/>
  <c r="A7" i="22"/>
  <c r="A9" i="21"/>
  <c r="A5" i="20"/>
  <c r="A4" i="19"/>
  <c r="A3" i="21"/>
  <c r="A10" i="19"/>
  <c r="A4" i="24"/>
  <c r="A4" i="22"/>
  <c r="A2" i="21"/>
  <c r="A4" i="20"/>
  <c r="A1" i="19"/>
  <c r="A5" i="22"/>
  <c r="A10" i="23"/>
  <c r="A6" i="22"/>
  <c r="A8" i="21"/>
  <c r="A3" i="20"/>
  <c r="A10" i="18"/>
  <c r="A2" i="20"/>
  <c r="A9" i="23"/>
  <c r="BX9" i="24" l="1"/>
  <c r="BY9" i="24" s="1"/>
  <c r="BZ9" i="24" s="1"/>
  <c r="CA9" i="24" s="1"/>
  <c r="CB9" i="24" s="1"/>
  <c r="CC9" i="24" s="1"/>
  <c r="CD9" i="24" s="1"/>
  <c r="CE9" i="24" s="1"/>
  <c r="CF9" i="24" s="1"/>
  <c r="CG9" i="24" s="1"/>
  <c r="CH9" i="24" s="1"/>
  <c r="CI9" i="24" s="1"/>
  <c r="CJ9" i="24" s="1"/>
  <c r="CK9" i="24" s="1"/>
  <c r="CL9" i="24" s="1"/>
  <c r="CM9" i="24" s="1"/>
  <c r="CN9" i="24" s="1"/>
  <c r="CO9" i="24" s="1"/>
  <c r="CP9" i="24" s="1"/>
  <c r="CQ9" i="24" s="1"/>
  <c r="CR9" i="24" s="1"/>
  <c r="CS9" i="24" s="1"/>
  <c r="CT9" i="24" s="1"/>
  <c r="CU9" i="24" s="1"/>
  <c r="CV9" i="24" s="1"/>
  <c r="BW9" i="24"/>
  <c r="BW8" i="24"/>
  <c r="BX8" i="24" s="1"/>
  <c r="BY8" i="24" s="1"/>
  <c r="BZ8" i="24" s="1"/>
  <c r="CA8" i="24" s="1"/>
  <c r="CB8" i="24" s="1"/>
  <c r="CC8" i="24" s="1"/>
  <c r="CD8" i="24" s="1"/>
  <c r="CE8" i="24" s="1"/>
  <c r="CF8" i="24" s="1"/>
  <c r="CG8" i="24" s="1"/>
  <c r="CH8" i="24" s="1"/>
  <c r="CI8" i="24" s="1"/>
  <c r="CJ8" i="24" s="1"/>
  <c r="CK8" i="24" s="1"/>
  <c r="CL8" i="24" s="1"/>
  <c r="CM8" i="24" s="1"/>
  <c r="CN8" i="24" s="1"/>
  <c r="CO8" i="24" s="1"/>
  <c r="CP8" i="24" s="1"/>
  <c r="CQ8" i="24" s="1"/>
  <c r="CR8" i="24" s="1"/>
  <c r="CS8" i="24" s="1"/>
  <c r="CT8" i="24" s="1"/>
  <c r="CU8" i="24" s="1"/>
  <c r="CV8" i="24" s="1"/>
  <c r="BW7" i="24"/>
  <c r="BX7" i="24" s="1"/>
  <c r="BY7" i="24" s="1"/>
  <c r="BZ7" i="24" s="1"/>
  <c r="CA7" i="24" s="1"/>
  <c r="CB7" i="24" s="1"/>
  <c r="CC7" i="24" s="1"/>
  <c r="CD7" i="24" s="1"/>
  <c r="CE7" i="24" s="1"/>
  <c r="CF7" i="24" s="1"/>
  <c r="CG7" i="24" s="1"/>
  <c r="CH7" i="24" s="1"/>
  <c r="CI7" i="24" s="1"/>
  <c r="CJ7" i="24" s="1"/>
  <c r="CK7" i="24" s="1"/>
  <c r="CL7" i="24" s="1"/>
  <c r="CM7" i="24" s="1"/>
  <c r="CN7" i="24" s="1"/>
  <c r="CO7" i="24" s="1"/>
  <c r="CP7" i="24" s="1"/>
  <c r="CQ7" i="24" s="1"/>
  <c r="CR7" i="24" s="1"/>
  <c r="CS7" i="24" s="1"/>
  <c r="CT7" i="24" s="1"/>
  <c r="CU7" i="24" s="1"/>
  <c r="CV7" i="24" s="1"/>
  <c r="BV9" i="24"/>
  <c r="BV8" i="24"/>
  <c r="BV7" i="24"/>
  <c r="AZ9" i="24"/>
  <c r="BA9" i="24" s="1"/>
  <c r="BB9" i="24" s="1"/>
  <c r="BC9" i="24" s="1"/>
  <c r="BD9" i="24" s="1"/>
  <c r="BE9" i="24" s="1"/>
  <c r="BF9" i="24" s="1"/>
  <c r="BG9" i="24" s="1"/>
  <c r="BH9" i="24" s="1"/>
  <c r="BI9" i="24" s="1"/>
  <c r="BJ9" i="24" s="1"/>
  <c r="BK9" i="24" s="1"/>
  <c r="BL9" i="24" s="1"/>
  <c r="BM9" i="24" s="1"/>
  <c r="BN9" i="24" s="1"/>
  <c r="BO9" i="24" s="1"/>
  <c r="BP9" i="24" s="1"/>
  <c r="BQ9" i="24" s="1"/>
  <c r="BR9" i="24" s="1"/>
  <c r="BS9" i="24" s="1"/>
  <c r="BT9" i="24" s="1"/>
  <c r="BU9" i="24" s="1"/>
  <c r="AZ8" i="24"/>
  <c r="BA8" i="24" s="1"/>
  <c r="BB8" i="24" s="1"/>
  <c r="BC8" i="24" s="1"/>
  <c r="BD8" i="24" s="1"/>
  <c r="BE8" i="24" s="1"/>
  <c r="BF8" i="24" s="1"/>
  <c r="BG8" i="24" s="1"/>
  <c r="BH8" i="24" s="1"/>
  <c r="BI8" i="24" s="1"/>
  <c r="BJ8" i="24" s="1"/>
  <c r="BK8" i="24" s="1"/>
  <c r="BL8" i="24" s="1"/>
  <c r="BM8" i="24" s="1"/>
  <c r="BN8" i="24" s="1"/>
  <c r="BO8" i="24" s="1"/>
  <c r="BP8" i="24" s="1"/>
  <c r="BQ8" i="24" s="1"/>
  <c r="BR8" i="24" s="1"/>
  <c r="BS8" i="24" s="1"/>
  <c r="BT8" i="24" s="1"/>
  <c r="BU8" i="24" s="1"/>
  <c r="BA7" i="24"/>
  <c r="BB7" i="24" s="1"/>
  <c r="BC7" i="24" s="1"/>
  <c r="BD7" i="24" s="1"/>
  <c r="BE7" i="24" s="1"/>
  <c r="BF7" i="24" s="1"/>
  <c r="BG7" i="24" s="1"/>
  <c r="BH7" i="24" s="1"/>
  <c r="BI7" i="24" s="1"/>
  <c r="BJ7" i="24" s="1"/>
  <c r="BK7" i="24" s="1"/>
  <c r="BL7" i="24" s="1"/>
  <c r="BM7" i="24" s="1"/>
  <c r="BN7" i="24" s="1"/>
  <c r="BO7" i="24" s="1"/>
  <c r="BP7" i="24" s="1"/>
  <c r="BQ7" i="24" s="1"/>
  <c r="BR7" i="24" s="1"/>
  <c r="BS7" i="24" s="1"/>
  <c r="BT7" i="24" s="1"/>
  <c r="BU7" i="24" s="1"/>
  <c r="AZ7" i="24"/>
  <c r="AY9" i="24"/>
  <c r="AY8" i="24"/>
  <c r="AY7" i="24"/>
  <c r="BW9" i="23"/>
  <c r="BX9" i="23" s="1"/>
  <c r="BY9" i="23" s="1"/>
  <c r="BZ9" i="23" s="1"/>
  <c r="CA9" i="23" s="1"/>
  <c r="CB9" i="23" s="1"/>
  <c r="CC9" i="23" s="1"/>
  <c r="CD9" i="23" s="1"/>
  <c r="CE9" i="23" s="1"/>
  <c r="CF9" i="23" s="1"/>
  <c r="CG9" i="23" s="1"/>
  <c r="CH9" i="23" s="1"/>
  <c r="CI9" i="23" s="1"/>
  <c r="CJ9" i="23" s="1"/>
  <c r="CK9" i="23" s="1"/>
  <c r="CL9" i="23" s="1"/>
  <c r="CM9" i="23" s="1"/>
  <c r="CN9" i="23" s="1"/>
  <c r="CO9" i="23" s="1"/>
  <c r="CP9" i="23" s="1"/>
  <c r="CQ9" i="23" s="1"/>
  <c r="CR9" i="23" s="1"/>
  <c r="CS9" i="23" s="1"/>
  <c r="CT9" i="23" s="1"/>
  <c r="CU9" i="23" s="1"/>
  <c r="CV9" i="23" s="1"/>
  <c r="BW8" i="23"/>
  <c r="BX8" i="23" s="1"/>
  <c r="BY8" i="23" s="1"/>
  <c r="BZ8" i="23" s="1"/>
  <c r="CA8" i="23" s="1"/>
  <c r="CB8" i="23" s="1"/>
  <c r="CC8" i="23" s="1"/>
  <c r="CD8" i="23" s="1"/>
  <c r="CE8" i="23" s="1"/>
  <c r="CF8" i="23" s="1"/>
  <c r="CG8" i="23" s="1"/>
  <c r="CH8" i="23" s="1"/>
  <c r="CI8" i="23" s="1"/>
  <c r="CJ8" i="23" s="1"/>
  <c r="CK8" i="23" s="1"/>
  <c r="CL8" i="23" s="1"/>
  <c r="CM8" i="23" s="1"/>
  <c r="CN8" i="23" s="1"/>
  <c r="CO8" i="23" s="1"/>
  <c r="CP8" i="23" s="1"/>
  <c r="CQ8" i="23" s="1"/>
  <c r="CR8" i="23" s="1"/>
  <c r="CS8" i="23" s="1"/>
  <c r="CT8" i="23" s="1"/>
  <c r="CU8" i="23" s="1"/>
  <c r="CV8" i="23" s="1"/>
  <c r="BV9" i="23"/>
  <c r="BV8" i="23"/>
  <c r="AZ9" i="23"/>
  <c r="BA9" i="23" s="1"/>
  <c r="BB9" i="23" s="1"/>
  <c r="BC9" i="23" s="1"/>
  <c r="BD9" i="23" s="1"/>
  <c r="BE9" i="23" s="1"/>
  <c r="BF9" i="23" s="1"/>
  <c r="BG9" i="23" s="1"/>
  <c r="BH9" i="23" s="1"/>
  <c r="BI9" i="23" s="1"/>
  <c r="BJ9" i="23" s="1"/>
  <c r="BK9" i="23" s="1"/>
  <c r="BL9" i="23" s="1"/>
  <c r="BM9" i="23" s="1"/>
  <c r="BN9" i="23" s="1"/>
  <c r="BO9" i="23" s="1"/>
  <c r="BP9" i="23" s="1"/>
  <c r="BQ9" i="23" s="1"/>
  <c r="BR9" i="23" s="1"/>
  <c r="BS9" i="23" s="1"/>
  <c r="BT9" i="23" s="1"/>
  <c r="BU9" i="23" s="1"/>
  <c r="AZ8" i="23"/>
  <c r="BA8" i="23" s="1"/>
  <c r="BB8" i="23" s="1"/>
  <c r="BC8" i="23" s="1"/>
  <c r="BD8" i="23" s="1"/>
  <c r="BE8" i="23" s="1"/>
  <c r="BF8" i="23" s="1"/>
  <c r="BG8" i="23" s="1"/>
  <c r="BH8" i="23" s="1"/>
  <c r="BI8" i="23" s="1"/>
  <c r="BJ8" i="23" s="1"/>
  <c r="BK8" i="23" s="1"/>
  <c r="BL8" i="23" s="1"/>
  <c r="BM8" i="23" s="1"/>
  <c r="BN8" i="23" s="1"/>
  <c r="BO8" i="23" s="1"/>
  <c r="BP8" i="23" s="1"/>
  <c r="BQ8" i="23" s="1"/>
  <c r="BR8" i="23" s="1"/>
  <c r="BS8" i="23" s="1"/>
  <c r="BT8" i="23" s="1"/>
  <c r="BU8" i="23" s="1"/>
  <c r="AY9" i="23"/>
  <c r="AY8" i="23"/>
  <c r="AY10" i="24"/>
  <c r="AZ10" i="24" s="1"/>
  <c r="BA10" i="24" s="1"/>
  <c r="BB10" i="24" s="1"/>
  <c r="BC10" i="24" s="1"/>
  <c r="BD10" i="24" s="1"/>
  <c r="BE10" i="24" s="1"/>
  <c r="BF10" i="24" s="1"/>
  <c r="BG10" i="24" s="1"/>
  <c r="BH10" i="24" s="1"/>
  <c r="BI10" i="24" s="1"/>
  <c r="BJ10" i="24" s="1"/>
  <c r="BK10" i="24" s="1"/>
  <c r="BL10" i="24" s="1"/>
  <c r="BM10" i="24" s="1"/>
  <c r="BN10" i="24" s="1"/>
  <c r="BO10" i="24" s="1"/>
  <c r="BP10" i="24" s="1"/>
  <c r="BQ10" i="24" s="1"/>
  <c r="BR10" i="24" s="1"/>
  <c r="BS10" i="24" s="1"/>
  <c r="BT10" i="24" s="1"/>
  <c r="BU10" i="24" s="1"/>
  <c r="BV10" i="24" s="1"/>
  <c r="BW10" i="24" s="1"/>
  <c r="BX10" i="24" s="1"/>
  <c r="BY10" i="24" s="1"/>
  <c r="BZ10" i="24" s="1"/>
  <c r="CA10" i="24" s="1"/>
  <c r="CB10" i="24" s="1"/>
  <c r="CC10" i="24" s="1"/>
  <c r="CD10" i="24" s="1"/>
  <c r="CE10" i="24" s="1"/>
  <c r="CF10" i="24" s="1"/>
  <c r="CG10" i="24" s="1"/>
  <c r="CH10" i="24" s="1"/>
  <c r="CI10" i="24" s="1"/>
  <c r="CJ10" i="24" s="1"/>
  <c r="CK10" i="24" s="1"/>
  <c r="CL10" i="24" s="1"/>
  <c r="CM10" i="24" s="1"/>
  <c r="CN10" i="24" s="1"/>
  <c r="CO10" i="24" s="1"/>
  <c r="CP10" i="24" s="1"/>
  <c r="CQ10" i="24" s="1"/>
  <c r="CR10" i="24" s="1"/>
  <c r="CS10" i="24" s="1"/>
  <c r="CT10" i="24" s="1"/>
  <c r="CU10" i="24" s="1"/>
  <c r="CV10" i="24" s="1"/>
  <c r="AY10" i="23"/>
  <c r="AZ10" i="23" s="1"/>
  <c r="BA10" i="23" s="1"/>
  <c r="BB10" i="23" s="1"/>
  <c r="BC10" i="23" s="1"/>
  <c r="BD10" i="23" s="1"/>
  <c r="BE10" i="23" s="1"/>
  <c r="BF10" i="23" s="1"/>
  <c r="BG10" i="23" s="1"/>
  <c r="BH10" i="23" s="1"/>
  <c r="BI10" i="23" s="1"/>
  <c r="BJ10" i="23" s="1"/>
  <c r="BK10" i="23" s="1"/>
  <c r="BL10" i="23" s="1"/>
  <c r="BM10" i="23" s="1"/>
  <c r="BN10" i="23" s="1"/>
  <c r="BO10" i="23" s="1"/>
  <c r="BP10" i="23" s="1"/>
  <c r="BQ10" i="23" s="1"/>
  <c r="BR10" i="23" s="1"/>
  <c r="BS10" i="23" s="1"/>
  <c r="BT10" i="23" s="1"/>
  <c r="BU10" i="23" s="1"/>
  <c r="BV10" i="23" s="1"/>
  <c r="BW10" i="23" s="1"/>
  <c r="BX10" i="23" s="1"/>
  <c r="BY10" i="23" s="1"/>
  <c r="BZ10" i="23" s="1"/>
  <c r="CA10" i="23" s="1"/>
  <c r="CB10" i="23" s="1"/>
  <c r="CC10" i="23" s="1"/>
  <c r="CD10" i="23" s="1"/>
  <c r="CE10" i="23" s="1"/>
  <c r="CF10" i="23" s="1"/>
  <c r="CG10" i="23" s="1"/>
  <c r="CH10" i="23" s="1"/>
  <c r="CI10" i="23" s="1"/>
  <c r="CJ10" i="23" s="1"/>
  <c r="CK10" i="23" s="1"/>
  <c r="CL10" i="23" s="1"/>
  <c r="CM10" i="23" s="1"/>
  <c r="CN10" i="23" s="1"/>
  <c r="CO10" i="23" s="1"/>
  <c r="CP10" i="23" s="1"/>
  <c r="CQ10" i="23" s="1"/>
  <c r="CR10" i="23" s="1"/>
  <c r="CS10" i="23" s="1"/>
  <c r="CT10" i="23" s="1"/>
  <c r="CU10" i="23" s="1"/>
  <c r="CV10" i="23" s="1"/>
  <c r="AY6" i="24"/>
  <c r="AZ6" i="24" s="1"/>
  <c r="BA6" i="24" s="1"/>
  <c r="BB6" i="24" s="1"/>
  <c r="BC6" i="24" s="1"/>
  <c r="BD6" i="24" s="1"/>
  <c r="BE6" i="24" s="1"/>
  <c r="BF6" i="24" s="1"/>
  <c r="BG6" i="24" s="1"/>
  <c r="BH6" i="24" s="1"/>
  <c r="BI6" i="24" s="1"/>
  <c r="BJ6" i="24" s="1"/>
  <c r="BK6" i="24" s="1"/>
  <c r="BL6" i="24" s="1"/>
  <c r="BM6" i="24" s="1"/>
  <c r="BN6" i="24" s="1"/>
  <c r="BO6" i="24" s="1"/>
  <c r="BP6" i="24" s="1"/>
  <c r="BQ6" i="24" s="1"/>
  <c r="BR6" i="24" s="1"/>
  <c r="BS6" i="24" s="1"/>
  <c r="BT6" i="24" s="1"/>
  <c r="BU6" i="24" s="1"/>
  <c r="BV6" i="24" s="1"/>
  <c r="BW6" i="24" s="1"/>
  <c r="BX6" i="24" s="1"/>
  <c r="BY6" i="24" s="1"/>
  <c r="BZ6" i="24" s="1"/>
  <c r="CA6" i="24" s="1"/>
  <c r="CB6" i="24" s="1"/>
  <c r="CC6" i="24" s="1"/>
  <c r="CD6" i="24" s="1"/>
  <c r="CE6" i="24" s="1"/>
  <c r="CF6" i="24" s="1"/>
  <c r="CG6" i="24" s="1"/>
  <c r="CH6" i="24" s="1"/>
  <c r="CI6" i="24" s="1"/>
  <c r="CJ6" i="24" s="1"/>
  <c r="CK6" i="24" s="1"/>
  <c r="CL6" i="24" s="1"/>
  <c r="CM6" i="24" s="1"/>
  <c r="CN6" i="24" s="1"/>
  <c r="CO6" i="24" s="1"/>
  <c r="CP6" i="24" s="1"/>
  <c r="CQ6" i="24" s="1"/>
  <c r="CR6" i="24" s="1"/>
  <c r="CS6" i="24" s="1"/>
  <c r="CT6" i="24" s="1"/>
  <c r="CU6" i="24" s="1"/>
  <c r="CV6" i="24" s="1"/>
  <c r="AY7" i="23"/>
  <c r="AZ7" i="23" s="1"/>
  <c r="BA7" i="23" s="1"/>
  <c r="BB7" i="23" s="1"/>
  <c r="BC7" i="23" s="1"/>
  <c r="BD7" i="23" s="1"/>
  <c r="BE7" i="23" s="1"/>
  <c r="BF7" i="23" s="1"/>
  <c r="BG7" i="23" s="1"/>
  <c r="BH7" i="23" s="1"/>
  <c r="BI7" i="23" s="1"/>
  <c r="BJ7" i="23" s="1"/>
  <c r="BK7" i="23" s="1"/>
  <c r="BL7" i="23" s="1"/>
  <c r="BM7" i="23" s="1"/>
  <c r="BN7" i="23" s="1"/>
  <c r="BO7" i="23" s="1"/>
  <c r="BP7" i="23" s="1"/>
  <c r="BQ7" i="23" s="1"/>
  <c r="BR7" i="23" s="1"/>
  <c r="BS7" i="23" s="1"/>
  <c r="BT7" i="23" s="1"/>
  <c r="BU7" i="23" s="1"/>
  <c r="BV7" i="23" s="1"/>
  <c r="BW7" i="23" s="1"/>
  <c r="BX7" i="23" s="1"/>
  <c r="BY7" i="23" s="1"/>
  <c r="BZ7" i="23" s="1"/>
  <c r="CA7" i="23" s="1"/>
  <c r="CB7" i="23" s="1"/>
  <c r="CC7" i="23" s="1"/>
  <c r="CD7" i="23" s="1"/>
  <c r="CE7" i="23" s="1"/>
  <c r="CF7" i="23" s="1"/>
  <c r="CG7" i="23" s="1"/>
  <c r="CH7" i="23" s="1"/>
  <c r="CI7" i="23" s="1"/>
  <c r="CJ7" i="23" s="1"/>
  <c r="CK7" i="23" s="1"/>
  <c r="CL7" i="23" s="1"/>
  <c r="CM7" i="23" s="1"/>
  <c r="CN7" i="23" s="1"/>
  <c r="CO7" i="23" s="1"/>
  <c r="CP7" i="23" s="1"/>
  <c r="CQ7" i="23" s="1"/>
  <c r="CR7" i="23" s="1"/>
  <c r="CS7" i="23" s="1"/>
  <c r="CT7" i="23" s="1"/>
  <c r="CU7" i="23" s="1"/>
  <c r="CV7" i="23" s="1"/>
  <c r="AY6" i="23"/>
  <c r="AZ6" i="23" s="1"/>
  <c r="BA6" i="23" s="1"/>
  <c r="BB6" i="23" s="1"/>
  <c r="BC6" i="23" s="1"/>
  <c r="BD6" i="23" s="1"/>
  <c r="BE6" i="23" s="1"/>
  <c r="BF6" i="23" s="1"/>
  <c r="BG6" i="23" s="1"/>
  <c r="BH6" i="23" s="1"/>
  <c r="BI6" i="23" s="1"/>
  <c r="BJ6" i="23" s="1"/>
  <c r="BK6" i="23" s="1"/>
  <c r="BL6" i="23" s="1"/>
  <c r="BM6" i="23" s="1"/>
  <c r="BN6" i="23" s="1"/>
  <c r="BO6" i="23" s="1"/>
  <c r="BP6" i="23" s="1"/>
  <c r="BQ6" i="23" s="1"/>
  <c r="BR6" i="23" s="1"/>
  <c r="BS6" i="23" s="1"/>
  <c r="BT6" i="23" s="1"/>
  <c r="BU6" i="23" s="1"/>
  <c r="BV6" i="23" s="1"/>
  <c r="BW6" i="23" s="1"/>
  <c r="BX6" i="23" s="1"/>
  <c r="BY6" i="23" s="1"/>
  <c r="BZ6" i="23" s="1"/>
  <c r="CA6" i="23" s="1"/>
  <c r="CB6" i="23" s="1"/>
  <c r="CC6" i="23" s="1"/>
  <c r="CD6" i="23" s="1"/>
  <c r="CE6" i="23" s="1"/>
  <c r="CF6" i="23" s="1"/>
  <c r="CG6" i="23" s="1"/>
  <c r="CH6" i="23" s="1"/>
  <c r="CI6" i="23" s="1"/>
  <c r="CJ6" i="23" s="1"/>
  <c r="CK6" i="23" s="1"/>
  <c r="CL6" i="23" s="1"/>
  <c r="CM6" i="23" s="1"/>
  <c r="CN6" i="23" s="1"/>
  <c r="CO6" i="23" s="1"/>
  <c r="CP6" i="23" s="1"/>
  <c r="CQ6" i="23" s="1"/>
  <c r="CR6" i="23" s="1"/>
  <c r="CS6" i="23" s="1"/>
  <c r="CT6" i="23" s="1"/>
  <c r="CU6" i="23" s="1"/>
  <c r="CV6" i="23" s="1"/>
  <c r="BW10" i="22"/>
  <c r="BX10" i="22" s="1"/>
  <c r="BY10" i="22" s="1"/>
  <c r="BZ10" i="22" s="1"/>
  <c r="CA10" i="22" s="1"/>
  <c r="CB10" i="22" s="1"/>
  <c r="CC10" i="22" s="1"/>
  <c r="CD10" i="22" s="1"/>
  <c r="CE10" i="22" s="1"/>
  <c r="CF10" i="22" s="1"/>
  <c r="CG10" i="22" s="1"/>
  <c r="CH10" i="22" s="1"/>
  <c r="CI10" i="22" s="1"/>
  <c r="CJ10" i="22" s="1"/>
  <c r="CK10" i="22" s="1"/>
  <c r="CL10" i="22" s="1"/>
  <c r="CM10" i="22" s="1"/>
  <c r="CN10" i="22" s="1"/>
  <c r="CO10" i="22" s="1"/>
  <c r="CP10" i="22" s="1"/>
  <c r="CQ10" i="22" s="1"/>
  <c r="CR10" i="22" s="1"/>
  <c r="CS10" i="22" s="1"/>
  <c r="CT10" i="22" s="1"/>
  <c r="CU10" i="22" s="1"/>
  <c r="CV10" i="22" s="1"/>
  <c r="BW9" i="22"/>
  <c r="BX9" i="22" s="1"/>
  <c r="BY9" i="22" s="1"/>
  <c r="BZ9" i="22" s="1"/>
  <c r="CA9" i="22" s="1"/>
  <c r="CB9" i="22" s="1"/>
  <c r="CC9" i="22" s="1"/>
  <c r="CD9" i="22" s="1"/>
  <c r="CE9" i="22" s="1"/>
  <c r="CF9" i="22" s="1"/>
  <c r="CG9" i="22" s="1"/>
  <c r="CH9" i="22" s="1"/>
  <c r="CI9" i="22" s="1"/>
  <c r="CJ9" i="22" s="1"/>
  <c r="CK9" i="22" s="1"/>
  <c r="CL9" i="22" s="1"/>
  <c r="CM9" i="22" s="1"/>
  <c r="CN9" i="22" s="1"/>
  <c r="CO9" i="22" s="1"/>
  <c r="CP9" i="22" s="1"/>
  <c r="CQ9" i="22" s="1"/>
  <c r="CR9" i="22" s="1"/>
  <c r="CS9" i="22" s="1"/>
  <c r="CT9" i="22" s="1"/>
  <c r="CU9" i="22" s="1"/>
  <c r="CV9" i="22" s="1"/>
  <c r="BW8" i="22"/>
  <c r="BX8" i="22" s="1"/>
  <c r="BY8" i="22" s="1"/>
  <c r="BZ8" i="22" s="1"/>
  <c r="CA8" i="22" s="1"/>
  <c r="CB8" i="22" s="1"/>
  <c r="CC8" i="22" s="1"/>
  <c r="CD8" i="22" s="1"/>
  <c r="CE8" i="22" s="1"/>
  <c r="CF8" i="22" s="1"/>
  <c r="CG8" i="22" s="1"/>
  <c r="CH8" i="22" s="1"/>
  <c r="CI8" i="22" s="1"/>
  <c r="CJ8" i="22" s="1"/>
  <c r="CK8" i="22" s="1"/>
  <c r="CL8" i="22" s="1"/>
  <c r="CM8" i="22" s="1"/>
  <c r="CN8" i="22" s="1"/>
  <c r="CO8" i="22" s="1"/>
  <c r="CP8" i="22" s="1"/>
  <c r="CQ8" i="22" s="1"/>
  <c r="CR8" i="22" s="1"/>
  <c r="CS8" i="22" s="1"/>
  <c r="CT8" i="22" s="1"/>
  <c r="CU8" i="22" s="1"/>
  <c r="CV8" i="22" s="1"/>
  <c r="BW7" i="22"/>
  <c r="BX7" i="22" s="1"/>
  <c r="BY7" i="22" s="1"/>
  <c r="BZ7" i="22" s="1"/>
  <c r="CA7" i="22" s="1"/>
  <c r="CB7" i="22" s="1"/>
  <c r="CC7" i="22" s="1"/>
  <c r="CD7" i="22" s="1"/>
  <c r="CE7" i="22" s="1"/>
  <c r="CF7" i="22" s="1"/>
  <c r="CG7" i="22" s="1"/>
  <c r="CH7" i="22" s="1"/>
  <c r="CI7" i="22" s="1"/>
  <c r="CJ7" i="22" s="1"/>
  <c r="CK7" i="22" s="1"/>
  <c r="CL7" i="22" s="1"/>
  <c r="CM7" i="22" s="1"/>
  <c r="CN7" i="22" s="1"/>
  <c r="CO7" i="22" s="1"/>
  <c r="CP7" i="22" s="1"/>
  <c r="CQ7" i="22" s="1"/>
  <c r="CR7" i="22" s="1"/>
  <c r="CS7" i="22" s="1"/>
  <c r="CT7" i="22" s="1"/>
  <c r="CU7" i="22" s="1"/>
  <c r="CV7" i="22" s="1"/>
  <c r="BW6" i="22"/>
  <c r="BX6" i="22" s="1"/>
  <c r="BY6" i="22" s="1"/>
  <c r="BZ6" i="22" s="1"/>
  <c r="CA6" i="22" s="1"/>
  <c r="CB6" i="22" s="1"/>
  <c r="CC6" i="22" s="1"/>
  <c r="CD6" i="22" s="1"/>
  <c r="CE6" i="22" s="1"/>
  <c r="CF6" i="22" s="1"/>
  <c r="CG6" i="22" s="1"/>
  <c r="CH6" i="22" s="1"/>
  <c r="CI6" i="22" s="1"/>
  <c r="CJ6" i="22" s="1"/>
  <c r="CK6" i="22" s="1"/>
  <c r="CL6" i="22" s="1"/>
  <c r="CM6" i="22" s="1"/>
  <c r="CN6" i="22" s="1"/>
  <c r="CO6" i="22" s="1"/>
  <c r="CP6" i="22" s="1"/>
  <c r="CQ6" i="22" s="1"/>
  <c r="CR6" i="22" s="1"/>
  <c r="CS6" i="22" s="1"/>
  <c r="CT6" i="22" s="1"/>
  <c r="CU6" i="22" s="1"/>
  <c r="CV6" i="22" s="1"/>
  <c r="BV10" i="22"/>
  <c r="BV9" i="22"/>
  <c r="BV8" i="22"/>
  <c r="BV7" i="22"/>
  <c r="BV6" i="22"/>
  <c r="BA10" i="22"/>
  <c r="BB10" i="22" s="1"/>
  <c r="BC10" i="22" s="1"/>
  <c r="BD10" i="22" s="1"/>
  <c r="BE10" i="22" s="1"/>
  <c r="BF10" i="22" s="1"/>
  <c r="BG10" i="22" s="1"/>
  <c r="BH10" i="22" s="1"/>
  <c r="BI10" i="22" s="1"/>
  <c r="BJ10" i="22" s="1"/>
  <c r="BK10" i="22" s="1"/>
  <c r="BL10" i="22" s="1"/>
  <c r="BM10" i="22" s="1"/>
  <c r="BN10" i="22" s="1"/>
  <c r="BO10" i="22" s="1"/>
  <c r="BP10" i="22" s="1"/>
  <c r="BQ10" i="22" s="1"/>
  <c r="BR10" i="22" s="1"/>
  <c r="BS10" i="22" s="1"/>
  <c r="BT10" i="22" s="1"/>
  <c r="BU10" i="22" s="1"/>
  <c r="AZ10" i="22"/>
  <c r="AZ9" i="22"/>
  <c r="BA9" i="22" s="1"/>
  <c r="BB9" i="22" s="1"/>
  <c r="BC9" i="22" s="1"/>
  <c r="BD9" i="22" s="1"/>
  <c r="BE9" i="22" s="1"/>
  <c r="BF9" i="22" s="1"/>
  <c r="BG9" i="22" s="1"/>
  <c r="BH9" i="22" s="1"/>
  <c r="BI9" i="22" s="1"/>
  <c r="BJ9" i="22" s="1"/>
  <c r="BK9" i="22" s="1"/>
  <c r="BL9" i="22" s="1"/>
  <c r="BM9" i="22" s="1"/>
  <c r="BN9" i="22" s="1"/>
  <c r="BO9" i="22" s="1"/>
  <c r="BP9" i="22" s="1"/>
  <c r="BQ9" i="22" s="1"/>
  <c r="BR9" i="22" s="1"/>
  <c r="BS9" i="22" s="1"/>
  <c r="BT9" i="22" s="1"/>
  <c r="BU9" i="22" s="1"/>
  <c r="AZ8" i="22"/>
  <c r="BA8" i="22" s="1"/>
  <c r="BB8" i="22" s="1"/>
  <c r="BC8" i="22" s="1"/>
  <c r="BD8" i="22" s="1"/>
  <c r="BE8" i="22" s="1"/>
  <c r="BF8" i="22" s="1"/>
  <c r="BG8" i="22" s="1"/>
  <c r="BH8" i="22" s="1"/>
  <c r="BI8" i="22" s="1"/>
  <c r="BJ8" i="22" s="1"/>
  <c r="BK8" i="22" s="1"/>
  <c r="BL8" i="22" s="1"/>
  <c r="BM8" i="22" s="1"/>
  <c r="BN8" i="22" s="1"/>
  <c r="BO8" i="22" s="1"/>
  <c r="BP8" i="22" s="1"/>
  <c r="BQ8" i="22" s="1"/>
  <c r="BR8" i="22" s="1"/>
  <c r="BS8" i="22" s="1"/>
  <c r="BT8" i="22" s="1"/>
  <c r="BU8" i="22" s="1"/>
  <c r="AZ7" i="22"/>
  <c r="BA7" i="22" s="1"/>
  <c r="BB7" i="22" s="1"/>
  <c r="BC7" i="22" s="1"/>
  <c r="BD7" i="22" s="1"/>
  <c r="BE7" i="22" s="1"/>
  <c r="BF7" i="22" s="1"/>
  <c r="BG7" i="22" s="1"/>
  <c r="BH7" i="22" s="1"/>
  <c r="BI7" i="22" s="1"/>
  <c r="BJ7" i="22" s="1"/>
  <c r="BK7" i="22" s="1"/>
  <c r="BL7" i="22" s="1"/>
  <c r="BM7" i="22" s="1"/>
  <c r="BN7" i="22" s="1"/>
  <c r="BO7" i="22" s="1"/>
  <c r="BP7" i="22" s="1"/>
  <c r="BQ7" i="22" s="1"/>
  <c r="BR7" i="22" s="1"/>
  <c r="BS7" i="22" s="1"/>
  <c r="BT7" i="22" s="1"/>
  <c r="BU7" i="22" s="1"/>
  <c r="AZ6" i="22"/>
  <c r="BA6" i="22" s="1"/>
  <c r="BB6" i="22" s="1"/>
  <c r="BC6" i="22" s="1"/>
  <c r="BD6" i="22" s="1"/>
  <c r="BE6" i="22" s="1"/>
  <c r="BF6" i="22" s="1"/>
  <c r="BG6" i="22" s="1"/>
  <c r="BH6" i="22" s="1"/>
  <c r="BI6" i="22" s="1"/>
  <c r="BJ6" i="22" s="1"/>
  <c r="BK6" i="22" s="1"/>
  <c r="BL6" i="22" s="1"/>
  <c r="BM6" i="22" s="1"/>
  <c r="BN6" i="22" s="1"/>
  <c r="BO6" i="22" s="1"/>
  <c r="BP6" i="22" s="1"/>
  <c r="BQ6" i="22" s="1"/>
  <c r="BR6" i="22" s="1"/>
  <c r="BS6" i="22" s="1"/>
  <c r="BT6" i="22" s="1"/>
  <c r="BU6" i="22" s="1"/>
  <c r="AY10" i="22"/>
  <c r="AY9" i="22"/>
  <c r="AY8" i="22"/>
  <c r="AY7" i="22"/>
  <c r="AY6" i="22"/>
  <c r="D14" i="23"/>
  <c r="E14" i="23" s="1"/>
  <c r="F14" i="23" s="1"/>
  <c r="G14" i="23" s="1"/>
  <c r="H14" i="23" s="1"/>
  <c r="I14" i="23" s="1"/>
  <c r="J14" i="23" s="1"/>
  <c r="K14" i="23" s="1"/>
  <c r="L14" i="23" s="1"/>
  <c r="M14" i="23" s="1"/>
  <c r="N14" i="23" s="1"/>
  <c r="O14" i="23" s="1"/>
  <c r="P14" i="23" s="1"/>
  <c r="Q14" i="23" s="1"/>
  <c r="R14" i="23" s="1"/>
  <c r="S14" i="23" s="1"/>
  <c r="T14" i="23" s="1"/>
  <c r="U14" i="23" s="1"/>
  <c r="V14" i="23" s="1"/>
  <c r="W14" i="23" s="1"/>
  <c r="X14" i="23" s="1"/>
  <c r="Y14" i="23" s="1"/>
  <c r="Z14" i="23" s="1"/>
  <c r="AA14" i="23" s="1"/>
  <c r="AB14" i="23" s="1"/>
  <c r="AC14" i="23" s="1"/>
  <c r="AD14" i="23" s="1"/>
  <c r="AE14" i="23" s="1"/>
  <c r="AF14" i="23" s="1"/>
  <c r="AG14" i="23" s="1"/>
  <c r="AH14" i="23" s="1"/>
  <c r="AI14" i="23" s="1"/>
  <c r="AJ14" i="23" s="1"/>
  <c r="AK14" i="23" s="1"/>
  <c r="AL14" i="23" s="1"/>
  <c r="AM14" i="23" s="1"/>
  <c r="AN14" i="23" s="1"/>
  <c r="AO14" i="23" s="1"/>
  <c r="AP14" i="23" s="1"/>
  <c r="AQ14" i="23" s="1"/>
  <c r="AR14" i="23" s="1"/>
  <c r="AS14" i="23" s="1"/>
  <c r="AT14" i="23" s="1"/>
  <c r="AU14" i="23" s="1"/>
  <c r="AV14" i="23" s="1"/>
  <c r="AW14" i="23" s="1"/>
  <c r="AX14" i="23" s="1"/>
  <c r="AY14" i="23" s="1"/>
  <c r="AZ14" i="23" s="1"/>
  <c r="BA14" i="23" s="1"/>
  <c r="BB14" i="23" s="1"/>
  <c r="BC14" i="23" s="1"/>
  <c r="BD14" i="23" s="1"/>
  <c r="BE14" i="23" s="1"/>
  <c r="BF14" i="23" s="1"/>
  <c r="BG14" i="23" s="1"/>
  <c r="BH14" i="23" s="1"/>
  <c r="BI14" i="23" s="1"/>
  <c r="BJ14" i="23" s="1"/>
  <c r="BK14" i="23" s="1"/>
  <c r="BL14" i="23" s="1"/>
  <c r="BM14" i="23" s="1"/>
  <c r="BN14" i="23" s="1"/>
  <c r="BO14" i="23" s="1"/>
  <c r="BP14" i="23" s="1"/>
  <c r="BQ14" i="23" s="1"/>
  <c r="BR14" i="23" s="1"/>
  <c r="BS14" i="23" s="1"/>
  <c r="BT14" i="23" s="1"/>
  <c r="BU14" i="23" s="1"/>
  <c r="BV14" i="23" s="1"/>
  <c r="BW14" i="23" s="1"/>
  <c r="BX14" i="23" s="1"/>
  <c r="BY14" i="23" s="1"/>
  <c r="BZ14" i="23" s="1"/>
  <c r="CA14" i="23" s="1"/>
  <c r="CB14" i="23" s="1"/>
  <c r="CC14" i="23" s="1"/>
  <c r="CD14" i="23" s="1"/>
  <c r="CE14" i="23" s="1"/>
  <c r="CF14" i="23" s="1"/>
  <c r="CG14" i="23" s="1"/>
  <c r="CH14" i="23" s="1"/>
  <c r="CI14" i="23" s="1"/>
  <c r="CJ14" i="23" s="1"/>
  <c r="CK14" i="23" s="1"/>
  <c r="CL14" i="23" s="1"/>
  <c r="CM14" i="23" s="1"/>
  <c r="CN14" i="23" s="1"/>
  <c r="CO14" i="23" s="1"/>
  <c r="CP14" i="23" s="1"/>
  <c r="CQ14" i="23" s="1"/>
  <c r="CR14" i="23" s="1"/>
  <c r="CS14" i="23" s="1"/>
  <c r="CT14" i="23" s="1"/>
  <c r="CU14" i="23" s="1"/>
  <c r="CV14" i="23" s="1"/>
  <c r="CW14" i="23" s="1"/>
  <c r="D14" i="22"/>
  <c r="E14" i="22" s="1"/>
  <c r="F14" i="22" s="1"/>
  <c r="G14" i="22" s="1"/>
  <c r="H14" i="22" s="1"/>
  <c r="I14" i="22" s="1"/>
  <c r="J14" i="22" s="1"/>
  <c r="K14" i="22" s="1"/>
  <c r="L14" i="22" s="1"/>
  <c r="M14" i="22" s="1"/>
  <c r="N14" i="22" s="1"/>
  <c r="O14" i="22" s="1"/>
  <c r="P14" i="22" s="1"/>
  <c r="Q14" i="22" s="1"/>
  <c r="R14" i="22" s="1"/>
  <c r="S14" i="22" s="1"/>
  <c r="T14" i="22" s="1"/>
  <c r="U14" i="22" s="1"/>
  <c r="V14" i="22" s="1"/>
  <c r="W14" i="22" s="1"/>
  <c r="X14" i="22" s="1"/>
  <c r="Y14" i="22" s="1"/>
  <c r="Z14" i="22" s="1"/>
  <c r="AA14" i="22" s="1"/>
  <c r="AB14" i="22" s="1"/>
  <c r="AC14" i="22" s="1"/>
  <c r="AD14" i="22" s="1"/>
  <c r="AE14" i="22" s="1"/>
  <c r="AF14" i="22" s="1"/>
  <c r="AG14" i="22" s="1"/>
  <c r="AH14" i="22" s="1"/>
  <c r="AI14" i="22" s="1"/>
  <c r="AJ14" i="22" s="1"/>
  <c r="AK14" i="22" s="1"/>
  <c r="AL14" i="22" s="1"/>
  <c r="AM14" i="22" s="1"/>
  <c r="AN14" i="22" s="1"/>
  <c r="AO14" i="22" s="1"/>
  <c r="AP14" i="22" s="1"/>
  <c r="AQ14" i="22" s="1"/>
  <c r="AR14" i="22" s="1"/>
  <c r="AS14" i="22" s="1"/>
  <c r="AT14" i="22" s="1"/>
  <c r="AU14" i="22" s="1"/>
  <c r="AV14" i="22" s="1"/>
  <c r="AW14" i="22" s="1"/>
  <c r="AX14" i="22" s="1"/>
  <c r="AY14" i="22" s="1"/>
  <c r="AZ14" i="22" s="1"/>
  <c r="BA14" i="22" s="1"/>
  <c r="BB14" i="22" s="1"/>
  <c r="BC14" i="22" s="1"/>
  <c r="BD14" i="22" s="1"/>
  <c r="BE14" i="22" s="1"/>
  <c r="BF14" i="22" s="1"/>
  <c r="BG14" i="22" s="1"/>
  <c r="BH14" i="22" s="1"/>
  <c r="BI14" i="22" s="1"/>
  <c r="BJ14" i="22" s="1"/>
  <c r="BK14" i="22" s="1"/>
  <c r="BL14" i="22" s="1"/>
  <c r="BM14" i="22" s="1"/>
  <c r="BN14" i="22" s="1"/>
  <c r="BO14" i="22" s="1"/>
  <c r="BP14" i="22" s="1"/>
  <c r="BQ14" i="22" s="1"/>
  <c r="BR14" i="22" s="1"/>
  <c r="BS14" i="22" s="1"/>
  <c r="BT14" i="22" s="1"/>
  <c r="BU14" i="22" s="1"/>
  <c r="BV14" i="22" s="1"/>
  <c r="BW14" i="22" s="1"/>
  <c r="BX14" i="22" s="1"/>
  <c r="BY14" i="22" s="1"/>
  <c r="BZ14" i="22" s="1"/>
  <c r="CA14" i="22" s="1"/>
  <c r="CB14" i="22" s="1"/>
  <c r="CC14" i="22" s="1"/>
  <c r="CD14" i="22" s="1"/>
  <c r="CE14" i="22" s="1"/>
  <c r="CF14" i="22" s="1"/>
  <c r="CG14" i="22" s="1"/>
  <c r="CH14" i="22" s="1"/>
  <c r="CI14" i="22" s="1"/>
  <c r="CJ14" i="22" s="1"/>
  <c r="CK14" i="22" s="1"/>
  <c r="CL14" i="22" s="1"/>
  <c r="CM14" i="22" s="1"/>
  <c r="CN14" i="22" s="1"/>
  <c r="CO14" i="22" s="1"/>
  <c r="CP14" i="22" s="1"/>
  <c r="CQ14" i="22" s="1"/>
  <c r="CR14" i="22" s="1"/>
  <c r="CS14" i="22" s="1"/>
  <c r="CT14" i="22" s="1"/>
  <c r="CU14" i="22" s="1"/>
  <c r="CV14" i="22" s="1"/>
  <c r="CW14" i="22" s="1"/>
  <c r="C30" i="9"/>
  <c r="D30" i="9" s="1"/>
  <c r="E30" i="9" s="1"/>
  <c r="F30" i="9" s="1"/>
  <c r="G30" i="9" s="1"/>
  <c r="H30" i="9" s="1"/>
  <c r="I30" i="9" s="1"/>
  <c r="J30" i="9" s="1"/>
  <c r="K30" i="9" s="1"/>
  <c r="L30" i="9" s="1"/>
  <c r="M30" i="9" s="1"/>
  <c r="N30" i="9" s="1"/>
  <c r="O30" i="9" s="1"/>
  <c r="P30" i="9" s="1"/>
  <c r="Q30" i="9" s="1"/>
  <c r="R30" i="9" s="1"/>
  <c r="S30" i="9" s="1"/>
  <c r="T30" i="9" s="1"/>
  <c r="U30" i="9" s="1"/>
  <c r="V30" i="9" s="1"/>
  <c r="W30" i="9" s="1"/>
  <c r="X30" i="9" s="1"/>
  <c r="Y30" i="9" s="1"/>
  <c r="Z30" i="9" s="1"/>
  <c r="AA30" i="9" s="1"/>
  <c r="AB30" i="9" s="1"/>
  <c r="AC30" i="9" s="1"/>
  <c r="AD30" i="9" s="1"/>
  <c r="AE30" i="9" s="1"/>
  <c r="AF30" i="9" s="1"/>
  <c r="AG30" i="9" s="1"/>
  <c r="AH30" i="9" s="1"/>
  <c r="AI30" i="9" s="1"/>
  <c r="AJ30" i="9" s="1"/>
  <c r="AK30" i="9" s="1"/>
  <c r="AL30" i="9" s="1"/>
  <c r="AM30" i="9" s="1"/>
  <c r="AN30" i="9" s="1"/>
  <c r="AO30" i="9" s="1"/>
  <c r="AP30" i="9" s="1"/>
  <c r="AQ30" i="9" s="1"/>
  <c r="AR30" i="9" s="1"/>
  <c r="AS30" i="9" s="1"/>
  <c r="AT30" i="9" s="1"/>
  <c r="AU30" i="9" s="1"/>
  <c r="AV30" i="9" s="1"/>
  <c r="AW30" i="9" s="1"/>
  <c r="AX30" i="9" s="1"/>
  <c r="AY30" i="9" s="1"/>
  <c r="AZ30" i="9" s="1"/>
  <c r="BA30" i="9" s="1"/>
  <c r="BB30" i="9" s="1"/>
  <c r="BC30" i="9" s="1"/>
  <c r="BD30" i="9" s="1"/>
  <c r="BE30" i="9" s="1"/>
  <c r="BF30" i="9" s="1"/>
  <c r="BG30" i="9" s="1"/>
  <c r="BH30" i="9" s="1"/>
  <c r="BI30" i="9" s="1"/>
  <c r="BJ30" i="9" s="1"/>
  <c r="BK30" i="9" s="1"/>
  <c r="BL30" i="9" s="1"/>
  <c r="BM30" i="9" s="1"/>
  <c r="BN30" i="9" s="1"/>
  <c r="BO30" i="9" s="1"/>
  <c r="BP30" i="9" s="1"/>
  <c r="BQ30" i="9" s="1"/>
  <c r="BR30" i="9" s="1"/>
  <c r="BS30" i="9" s="1"/>
  <c r="BT30" i="9" s="1"/>
  <c r="BU30" i="9" s="1"/>
  <c r="BV30" i="9" s="1"/>
  <c r="BW30" i="9" s="1"/>
  <c r="BX30" i="9" s="1"/>
  <c r="BY30" i="9" s="1"/>
  <c r="BZ30" i="9" s="1"/>
  <c r="CA30" i="9" s="1"/>
  <c r="CB30" i="9" s="1"/>
  <c r="CC30" i="9" s="1"/>
  <c r="CD30" i="9" s="1"/>
  <c r="CE30" i="9" s="1"/>
  <c r="CF30" i="9" s="1"/>
  <c r="CG30" i="9" s="1"/>
  <c r="CH30" i="9" s="1"/>
  <c r="CI30" i="9" s="1"/>
  <c r="CJ30" i="9" s="1"/>
  <c r="CK30" i="9" s="1"/>
  <c r="CL30" i="9" s="1"/>
  <c r="CM30" i="9" s="1"/>
  <c r="CN30" i="9" s="1"/>
  <c r="CO30" i="9" s="1"/>
  <c r="CP30" i="9" s="1"/>
  <c r="CQ30" i="9" s="1"/>
  <c r="CR30" i="9" s="1"/>
  <c r="CS30" i="9" s="1"/>
  <c r="CT30" i="9" s="1"/>
  <c r="CU30" i="9" s="1"/>
  <c r="CV30" i="9" s="1"/>
  <c r="BW5" i="21"/>
  <c r="BX5" i="21" s="1"/>
  <c r="BY5" i="21" s="1"/>
  <c r="BZ5" i="21" s="1"/>
  <c r="CA5" i="21" s="1"/>
  <c r="CB5" i="21" s="1"/>
  <c r="CC5" i="21" s="1"/>
  <c r="CD5" i="21" s="1"/>
  <c r="CE5" i="21" s="1"/>
  <c r="CF5" i="21" s="1"/>
  <c r="CG5" i="21" s="1"/>
  <c r="CH5" i="21" s="1"/>
  <c r="CI5" i="21" s="1"/>
  <c r="CJ5" i="21" s="1"/>
  <c r="CK5" i="21" s="1"/>
  <c r="CL5" i="21" s="1"/>
  <c r="CM5" i="21" s="1"/>
  <c r="CN5" i="21" s="1"/>
  <c r="CO5" i="21" s="1"/>
  <c r="CP5" i="21" s="1"/>
  <c r="CQ5" i="21" s="1"/>
  <c r="CR5" i="21" s="1"/>
  <c r="CS5" i="21" s="1"/>
  <c r="CT5" i="21" s="1"/>
  <c r="CU5" i="21" s="1"/>
  <c r="CV5" i="21" s="1"/>
  <c r="BW4" i="21"/>
  <c r="BX4" i="21" s="1"/>
  <c r="BY4" i="21" s="1"/>
  <c r="BZ4" i="21" s="1"/>
  <c r="CA4" i="21" s="1"/>
  <c r="CB4" i="21" s="1"/>
  <c r="CC4" i="21" s="1"/>
  <c r="CD4" i="21" s="1"/>
  <c r="CE4" i="21" s="1"/>
  <c r="CF4" i="21" s="1"/>
  <c r="CG4" i="21" s="1"/>
  <c r="CH4" i="21" s="1"/>
  <c r="CI4" i="21" s="1"/>
  <c r="CJ4" i="21" s="1"/>
  <c r="CK4" i="21" s="1"/>
  <c r="CL4" i="21" s="1"/>
  <c r="CM4" i="21" s="1"/>
  <c r="CN4" i="21" s="1"/>
  <c r="CO4" i="21" s="1"/>
  <c r="CP4" i="21" s="1"/>
  <c r="CQ4" i="21" s="1"/>
  <c r="CR4" i="21" s="1"/>
  <c r="CS4" i="21" s="1"/>
  <c r="CT4" i="21" s="1"/>
  <c r="CU4" i="21" s="1"/>
  <c r="CV4" i="21" s="1"/>
  <c r="BW3" i="21"/>
  <c r="BX3" i="21" s="1"/>
  <c r="BY3" i="21" s="1"/>
  <c r="BZ3" i="21" s="1"/>
  <c r="CA3" i="21" s="1"/>
  <c r="CB3" i="21" s="1"/>
  <c r="CC3" i="21" s="1"/>
  <c r="CD3" i="21" s="1"/>
  <c r="CE3" i="21" s="1"/>
  <c r="CF3" i="21" s="1"/>
  <c r="CG3" i="21" s="1"/>
  <c r="CH3" i="21" s="1"/>
  <c r="CI3" i="21" s="1"/>
  <c r="CJ3" i="21" s="1"/>
  <c r="CK3" i="21" s="1"/>
  <c r="CL3" i="21" s="1"/>
  <c r="CM3" i="21" s="1"/>
  <c r="CN3" i="21" s="1"/>
  <c r="CO3" i="21" s="1"/>
  <c r="CP3" i="21" s="1"/>
  <c r="CQ3" i="21" s="1"/>
  <c r="CR3" i="21" s="1"/>
  <c r="CS3" i="21" s="1"/>
  <c r="CT3" i="21" s="1"/>
  <c r="CU3" i="21" s="1"/>
  <c r="CV3" i="21" s="1"/>
  <c r="BW2" i="21"/>
  <c r="BX2" i="21" s="1"/>
  <c r="BY2" i="21" s="1"/>
  <c r="BZ2" i="21" s="1"/>
  <c r="CA2" i="21" s="1"/>
  <c r="CB2" i="21" s="1"/>
  <c r="CC2" i="21" s="1"/>
  <c r="CD2" i="21" s="1"/>
  <c r="CE2" i="21" s="1"/>
  <c r="CF2" i="21" s="1"/>
  <c r="CG2" i="21" s="1"/>
  <c r="CH2" i="21" s="1"/>
  <c r="CI2" i="21" s="1"/>
  <c r="CJ2" i="21" s="1"/>
  <c r="CK2" i="21" s="1"/>
  <c r="CL2" i="21" s="1"/>
  <c r="CM2" i="21" s="1"/>
  <c r="CN2" i="21" s="1"/>
  <c r="CO2" i="21" s="1"/>
  <c r="CP2" i="21" s="1"/>
  <c r="CQ2" i="21" s="1"/>
  <c r="CR2" i="21" s="1"/>
  <c r="CS2" i="21" s="1"/>
  <c r="CT2" i="21" s="1"/>
  <c r="CU2" i="21" s="1"/>
  <c r="CV2" i="21" s="1"/>
  <c r="BW1" i="2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BV5" i="21"/>
  <c r="BV4" i="21"/>
  <c r="BV3" i="21"/>
  <c r="BV2" i="21"/>
  <c r="BV1" i="21"/>
  <c r="AZ5" i="21"/>
  <c r="BA5" i="21" s="1"/>
  <c r="BB5" i="21" s="1"/>
  <c r="BC5" i="21" s="1"/>
  <c r="BD5" i="21" s="1"/>
  <c r="BE5" i="21" s="1"/>
  <c r="BF5" i="21" s="1"/>
  <c r="BG5" i="21" s="1"/>
  <c r="BH5" i="21" s="1"/>
  <c r="BI5" i="21" s="1"/>
  <c r="BJ5" i="21" s="1"/>
  <c r="BK5" i="21" s="1"/>
  <c r="BL5" i="21" s="1"/>
  <c r="BM5" i="21" s="1"/>
  <c r="BN5" i="21" s="1"/>
  <c r="BO5" i="21" s="1"/>
  <c r="BP5" i="21" s="1"/>
  <c r="BQ5" i="21" s="1"/>
  <c r="BR5" i="21" s="1"/>
  <c r="BS5" i="21" s="1"/>
  <c r="BT5" i="21" s="1"/>
  <c r="BU5" i="21" s="1"/>
  <c r="BA4" i="21"/>
  <c r="BB4" i="21" s="1"/>
  <c r="BC4" i="21" s="1"/>
  <c r="BD4" i="21" s="1"/>
  <c r="BE4" i="21" s="1"/>
  <c r="BF4" i="21" s="1"/>
  <c r="BG4" i="21" s="1"/>
  <c r="BH4" i="21" s="1"/>
  <c r="BI4" i="21" s="1"/>
  <c r="BJ4" i="21" s="1"/>
  <c r="BK4" i="21" s="1"/>
  <c r="BL4" i="21" s="1"/>
  <c r="BM4" i="21" s="1"/>
  <c r="BN4" i="21" s="1"/>
  <c r="BO4" i="21" s="1"/>
  <c r="BP4" i="21" s="1"/>
  <c r="BQ4" i="21" s="1"/>
  <c r="BR4" i="21" s="1"/>
  <c r="BS4" i="21" s="1"/>
  <c r="BT4" i="21" s="1"/>
  <c r="BU4" i="21" s="1"/>
  <c r="AZ4" i="21"/>
  <c r="AZ3" i="21"/>
  <c r="BA3" i="21" s="1"/>
  <c r="BB3" i="21" s="1"/>
  <c r="BC3" i="21" s="1"/>
  <c r="BD3" i="21" s="1"/>
  <c r="BE3" i="21" s="1"/>
  <c r="BF3" i="21" s="1"/>
  <c r="BG3" i="21" s="1"/>
  <c r="BH3" i="21" s="1"/>
  <c r="BI3" i="21" s="1"/>
  <c r="BJ3" i="21" s="1"/>
  <c r="BK3" i="21" s="1"/>
  <c r="BL3" i="21" s="1"/>
  <c r="BM3" i="21" s="1"/>
  <c r="BN3" i="21" s="1"/>
  <c r="BO3" i="21" s="1"/>
  <c r="BP3" i="21" s="1"/>
  <c r="BQ3" i="21" s="1"/>
  <c r="BR3" i="21" s="1"/>
  <c r="BS3" i="21" s="1"/>
  <c r="BT3" i="21" s="1"/>
  <c r="BU3" i="21" s="1"/>
  <c r="AZ2" i="21"/>
  <c r="BA2" i="21" s="1"/>
  <c r="BB2" i="21" s="1"/>
  <c r="BC2" i="21" s="1"/>
  <c r="BD2" i="21" s="1"/>
  <c r="BE2" i="21" s="1"/>
  <c r="BF2" i="21" s="1"/>
  <c r="BG2" i="21" s="1"/>
  <c r="BH2" i="21" s="1"/>
  <c r="BI2" i="21" s="1"/>
  <c r="BJ2" i="21" s="1"/>
  <c r="BK2" i="21" s="1"/>
  <c r="BL2" i="21" s="1"/>
  <c r="BM2" i="21" s="1"/>
  <c r="BN2" i="21" s="1"/>
  <c r="BO2" i="21" s="1"/>
  <c r="BP2" i="21" s="1"/>
  <c r="BQ2" i="21" s="1"/>
  <c r="BR2" i="21" s="1"/>
  <c r="BS2" i="21" s="1"/>
  <c r="BT2" i="21" s="1"/>
  <c r="BU2" i="21" s="1"/>
  <c r="AZ1" i="2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AY5" i="21"/>
  <c r="AY4" i="21"/>
  <c r="AY3" i="21"/>
  <c r="AY2" i="21"/>
  <c r="AY1" i="21"/>
  <c r="BW5" i="20"/>
  <c r="BX5" i="20" s="1"/>
  <c r="BY5" i="20" s="1"/>
  <c r="BZ5" i="20" s="1"/>
  <c r="CA5" i="20" s="1"/>
  <c r="CB5" i="20" s="1"/>
  <c r="CC5" i="20" s="1"/>
  <c r="CD5" i="20" s="1"/>
  <c r="CE5" i="20" s="1"/>
  <c r="CF5" i="20" s="1"/>
  <c r="CG5" i="20" s="1"/>
  <c r="CH5" i="20" s="1"/>
  <c r="CI5" i="20" s="1"/>
  <c r="CJ5" i="20" s="1"/>
  <c r="CK5" i="20" s="1"/>
  <c r="CL5" i="20" s="1"/>
  <c r="CM5" i="20" s="1"/>
  <c r="CN5" i="20" s="1"/>
  <c r="CO5" i="20" s="1"/>
  <c r="CP5" i="20" s="1"/>
  <c r="CQ5" i="20" s="1"/>
  <c r="CR5" i="20" s="1"/>
  <c r="CS5" i="20" s="1"/>
  <c r="CT5" i="20" s="1"/>
  <c r="CU5" i="20" s="1"/>
  <c r="CV5" i="20" s="1"/>
  <c r="BW4" i="20"/>
  <c r="BX4" i="20" s="1"/>
  <c r="BY4" i="20" s="1"/>
  <c r="BZ4" i="20" s="1"/>
  <c r="CA4" i="20" s="1"/>
  <c r="CB4" i="20" s="1"/>
  <c r="CC4" i="20" s="1"/>
  <c r="CD4" i="20" s="1"/>
  <c r="CE4" i="20" s="1"/>
  <c r="CF4" i="20" s="1"/>
  <c r="CG4" i="20" s="1"/>
  <c r="CH4" i="20" s="1"/>
  <c r="CI4" i="20" s="1"/>
  <c r="CJ4" i="20" s="1"/>
  <c r="CK4" i="20" s="1"/>
  <c r="CL4" i="20" s="1"/>
  <c r="CM4" i="20" s="1"/>
  <c r="CN4" i="20" s="1"/>
  <c r="CO4" i="20" s="1"/>
  <c r="CP4" i="20" s="1"/>
  <c r="CQ4" i="20" s="1"/>
  <c r="CR4" i="20" s="1"/>
  <c r="CS4" i="20" s="1"/>
  <c r="CT4" i="20" s="1"/>
  <c r="CU4" i="20" s="1"/>
  <c r="CV4" i="20" s="1"/>
  <c r="BW3" i="20"/>
  <c r="BX3" i="20" s="1"/>
  <c r="BY3" i="20" s="1"/>
  <c r="BZ3" i="20" s="1"/>
  <c r="CA3" i="20" s="1"/>
  <c r="CB3" i="20" s="1"/>
  <c r="CC3" i="20" s="1"/>
  <c r="CD3" i="20" s="1"/>
  <c r="CE3" i="20" s="1"/>
  <c r="CF3" i="20" s="1"/>
  <c r="CG3" i="20" s="1"/>
  <c r="CH3" i="20" s="1"/>
  <c r="CI3" i="20" s="1"/>
  <c r="CJ3" i="20" s="1"/>
  <c r="CK3" i="20" s="1"/>
  <c r="CL3" i="20" s="1"/>
  <c r="CM3" i="20" s="1"/>
  <c r="CN3" i="20" s="1"/>
  <c r="CO3" i="20" s="1"/>
  <c r="CP3" i="20" s="1"/>
  <c r="CQ3" i="20" s="1"/>
  <c r="CR3" i="20" s="1"/>
  <c r="CS3" i="20" s="1"/>
  <c r="CT3" i="20" s="1"/>
  <c r="CU3" i="20" s="1"/>
  <c r="CV3" i="20" s="1"/>
  <c r="BW2" i="20"/>
  <c r="BX2" i="20" s="1"/>
  <c r="BY2" i="20" s="1"/>
  <c r="BZ2" i="20" s="1"/>
  <c r="CA2" i="20" s="1"/>
  <c r="CB2" i="20" s="1"/>
  <c r="CC2" i="20" s="1"/>
  <c r="CD2" i="20" s="1"/>
  <c r="CE2" i="20" s="1"/>
  <c r="CF2" i="20" s="1"/>
  <c r="CG2" i="20" s="1"/>
  <c r="CH2" i="20" s="1"/>
  <c r="CI2" i="20" s="1"/>
  <c r="CJ2" i="20" s="1"/>
  <c r="CK2" i="20" s="1"/>
  <c r="CL2" i="20" s="1"/>
  <c r="CM2" i="20" s="1"/>
  <c r="CN2" i="20" s="1"/>
  <c r="CO2" i="20" s="1"/>
  <c r="CP2" i="20" s="1"/>
  <c r="CQ2" i="20" s="1"/>
  <c r="CR2" i="20" s="1"/>
  <c r="CS2" i="20" s="1"/>
  <c r="CT2" i="20" s="1"/>
  <c r="CU2" i="20" s="1"/>
  <c r="CV2" i="20" s="1"/>
  <c r="BW1" i="20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BV5" i="20"/>
  <c r="BV4" i="20"/>
  <c r="BV3" i="20"/>
  <c r="BV2" i="20"/>
  <c r="BV1" i="20"/>
  <c r="AZ5" i="20"/>
  <c r="BA5" i="20" s="1"/>
  <c r="BB5" i="20" s="1"/>
  <c r="BC5" i="20" s="1"/>
  <c r="BD5" i="20" s="1"/>
  <c r="BE5" i="20" s="1"/>
  <c r="BF5" i="20" s="1"/>
  <c r="BG5" i="20" s="1"/>
  <c r="BH5" i="20" s="1"/>
  <c r="BI5" i="20" s="1"/>
  <c r="BJ5" i="20" s="1"/>
  <c r="BK5" i="20" s="1"/>
  <c r="BL5" i="20" s="1"/>
  <c r="BM5" i="20" s="1"/>
  <c r="BN5" i="20" s="1"/>
  <c r="BO5" i="20" s="1"/>
  <c r="BP5" i="20" s="1"/>
  <c r="BQ5" i="20" s="1"/>
  <c r="BR5" i="20" s="1"/>
  <c r="BS5" i="20" s="1"/>
  <c r="BT5" i="20" s="1"/>
  <c r="BU5" i="20" s="1"/>
  <c r="BC4" i="20"/>
  <c r="BD4" i="20" s="1"/>
  <c r="BE4" i="20" s="1"/>
  <c r="BF4" i="20" s="1"/>
  <c r="BG4" i="20" s="1"/>
  <c r="BH4" i="20" s="1"/>
  <c r="BI4" i="20" s="1"/>
  <c r="BJ4" i="20" s="1"/>
  <c r="BK4" i="20" s="1"/>
  <c r="BL4" i="20" s="1"/>
  <c r="BM4" i="20" s="1"/>
  <c r="BN4" i="20" s="1"/>
  <c r="BO4" i="20" s="1"/>
  <c r="BP4" i="20" s="1"/>
  <c r="BQ4" i="20" s="1"/>
  <c r="BR4" i="20" s="1"/>
  <c r="BS4" i="20" s="1"/>
  <c r="BT4" i="20" s="1"/>
  <c r="BU4" i="20" s="1"/>
  <c r="BB4" i="20"/>
  <c r="BA4" i="20"/>
  <c r="AZ4" i="20"/>
  <c r="BB3" i="20"/>
  <c r="BC3" i="20" s="1"/>
  <c r="BD3" i="20" s="1"/>
  <c r="BE3" i="20" s="1"/>
  <c r="BF3" i="20" s="1"/>
  <c r="BG3" i="20" s="1"/>
  <c r="BH3" i="20" s="1"/>
  <c r="BI3" i="20" s="1"/>
  <c r="BJ3" i="20" s="1"/>
  <c r="BK3" i="20" s="1"/>
  <c r="BL3" i="20" s="1"/>
  <c r="BM3" i="20" s="1"/>
  <c r="BN3" i="20" s="1"/>
  <c r="BO3" i="20" s="1"/>
  <c r="BP3" i="20" s="1"/>
  <c r="BQ3" i="20" s="1"/>
  <c r="BR3" i="20" s="1"/>
  <c r="BS3" i="20" s="1"/>
  <c r="BT3" i="20" s="1"/>
  <c r="BU3" i="20" s="1"/>
  <c r="BA3" i="20"/>
  <c r="AZ3" i="20"/>
  <c r="BA2" i="20"/>
  <c r="BB2" i="20" s="1"/>
  <c r="BC2" i="20" s="1"/>
  <c r="BD2" i="20" s="1"/>
  <c r="BE2" i="20" s="1"/>
  <c r="BF2" i="20" s="1"/>
  <c r="BG2" i="20" s="1"/>
  <c r="BH2" i="20" s="1"/>
  <c r="BI2" i="20" s="1"/>
  <c r="BJ2" i="20" s="1"/>
  <c r="BK2" i="20" s="1"/>
  <c r="BL2" i="20" s="1"/>
  <c r="BM2" i="20" s="1"/>
  <c r="BN2" i="20" s="1"/>
  <c r="BO2" i="20" s="1"/>
  <c r="BP2" i="20" s="1"/>
  <c r="BQ2" i="20" s="1"/>
  <c r="BR2" i="20" s="1"/>
  <c r="BS2" i="20" s="1"/>
  <c r="BT2" i="20" s="1"/>
  <c r="BU2" i="20" s="1"/>
  <c r="AZ2" i="20"/>
  <c r="AZ1" i="20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AY1" i="20"/>
  <c r="AY2" i="20"/>
  <c r="AY3" i="20"/>
  <c r="AY4" i="20"/>
  <c r="AY5" i="20"/>
  <c r="BV8" i="20"/>
  <c r="BW8" i="20" s="1"/>
  <c r="BX8" i="20" s="1"/>
  <c r="BY8" i="20" s="1"/>
  <c r="BZ8" i="20" s="1"/>
  <c r="CA8" i="20" s="1"/>
  <c r="CB8" i="20" s="1"/>
  <c r="CC8" i="20" s="1"/>
  <c r="CD8" i="20" s="1"/>
  <c r="CE8" i="20" s="1"/>
  <c r="CF8" i="20" s="1"/>
  <c r="CG8" i="20" s="1"/>
  <c r="CH8" i="20" s="1"/>
  <c r="CI8" i="20" s="1"/>
  <c r="CJ8" i="20" s="1"/>
  <c r="CK8" i="20" s="1"/>
  <c r="CL8" i="20" s="1"/>
  <c r="CM8" i="20" s="1"/>
  <c r="CN8" i="20" s="1"/>
  <c r="CO8" i="20" s="1"/>
  <c r="CP8" i="20" s="1"/>
  <c r="CQ8" i="20" s="1"/>
  <c r="CR8" i="20" s="1"/>
  <c r="CS8" i="20" s="1"/>
  <c r="CT8" i="20" s="1"/>
  <c r="CU8" i="20" s="1"/>
  <c r="CV8" i="20" s="1"/>
  <c r="BV7" i="20"/>
  <c r="BW7" i="20" s="1"/>
  <c r="BX7" i="20" s="1"/>
  <c r="BY7" i="20" s="1"/>
  <c r="BZ7" i="20" s="1"/>
  <c r="CA7" i="20" s="1"/>
  <c r="CB7" i="20" s="1"/>
  <c r="CC7" i="20" s="1"/>
  <c r="CD7" i="20" s="1"/>
  <c r="CE7" i="20" s="1"/>
  <c r="CF7" i="20" s="1"/>
  <c r="CG7" i="20" s="1"/>
  <c r="CH7" i="20" s="1"/>
  <c r="CI7" i="20" s="1"/>
  <c r="CJ7" i="20" s="1"/>
  <c r="CK7" i="20" s="1"/>
  <c r="CL7" i="20" s="1"/>
  <c r="CM7" i="20" s="1"/>
  <c r="CN7" i="20" s="1"/>
  <c r="CO7" i="20" s="1"/>
  <c r="CP7" i="20" s="1"/>
  <c r="CQ7" i="20" s="1"/>
  <c r="CR7" i="20" s="1"/>
  <c r="CS7" i="20" s="1"/>
  <c r="CT7" i="20" s="1"/>
  <c r="CU7" i="20" s="1"/>
  <c r="CV7" i="20" s="1"/>
  <c r="BV6" i="20"/>
  <c r="BW6" i="20" s="1"/>
  <c r="BX6" i="20" s="1"/>
  <c r="BY6" i="20" s="1"/>
  <c r="BZ6" i="20" s="1"/>
  <c r="CA6" i="20" s="1"/>
  <c r="CB6" i="20" s="1"/>
  <c r="CC6" i="20" s="1"/>
  <c r="CD6" i="20" s="1"/>
  <c r="CE6" i="20" s="1"/>
  <c r="CF6" i="20" s="1"/>
  <c r="CG6" i="20" s="1"/>
  <c r="CH6" i="20" s="1"/>
  <c r="CI6" i="20" s="1"/>
  <c r="CJ6" i="20" s="1"/>
  <c r="CK6" i="20" s="1"/>
  <c r="CL6" i="20" s="1"/>
  <c r="CM6" i="20" s="1"/>
  <c r="CN6" i="20" s="1"/>
  <c r="CO6" i="20" s="1"/>
  <c r="CP6" i="20" s="1"/>
  <c r="CQ6" i="20" s="1"/>
  <c r="CR6" i="20" s="1"/>
  <c r="CS6" i="20" s="1"/>
  <c r="CT6" i="20" s="1"/>
  <c r="CU6" i="20" s="1"/>
  <c r="CV6" i="20" s="1"/>
  <c r="BV10" i="19"/>
  <c r="BW10" i="19" s="1"/>
  <c r="BX10" i="19" s="1"/>
  <c r="BY10" i="19" s="1"/>
  <c r="BZ10" i="19" s="1"/>
  <c r="CA10" i="19" s="1"/>
  <c r="CB10" i="19" s="1"/>
  <c r="CC10" i="19" s="1"/>
  <c r="CD10" i="19" s="1"/>
  <c r="CE10" i="19" s="1"/>
  <c r="CF10" i="19" s="1"/>
  <c r="CG10" i="19" s="1"/>
  <c r="CH10" i="19" s="1"/>
  <c r="CI10" i="19" s="1"/>
  <c r="CJ10" i="19" s="1"/>
  <c r="CK10" i="19" s="1"/>
  <c r="CL10" i="19" s="1"/>
  <c r="CM10" i="19" s="1"/>
  <c r="CN10" i="19" s="1"/>
  <c r="CO10" i="19" s="1"/>
  <c r="CP10" i="19" s="1"/>
  <c r="CQ10" i="19" s="1"/>
  <c r="CR10" i="19" s="1"/>
  <c r="CS10" i="19" s="1"/>
  <c r="CT10" i="19" s="1"/>
  <c r="CU10" i="19" s="1"/>
  <c r="CV10" i="19" s="1"/>
  <c r="BA9" i="19"/>
  <c r="BB9" i="19" s="1"/>
  <c r="BC9" i="19" s="1"/>
  <c r="BD9" i="19" s="1"/>
  <c r="BE9" i="19" s="1"/>
  <c r="BF9" i="19" s="1"/>
  <c r="BG9" i="19" s="1"/>
  <c r="BH9" i="19" s="1"/>
  <c r="BI9" i="19" s="1"/>
  <c r="BJ9" i="19" s="1"/>
  <c r="BK9" i="19" s="1"/>
  <c r="BL9" i="19" s="1"/>
  <c r="BM9" i="19" s="1"/>
  <c r="BN9" i="19" s="1"/>
  <c r="BO9" i="19" s="1"/>
  <c r="BP9" i="19" s="1"/>
  <c r="BQ9" i="19" s="1"/>
  <c r="BR9" i="19" s="1"/>
  <c r="BS9" i="19" s="1"/>
  <c r="BT9" i="19" s="1"/>
  <c r="BU9" i="19" s="1"/>
  <c r="BV9" i="19" s="1"/>
  <c r="BW9" i="19" s="1"/>
  <c r="BX9" i="19" s="1"/>
  <c r="BY9" i="19" s="1"/>
  <c r="BZ9" i="19" s="1"/>
  <c r="CA9" i="19" s="1"/>
  <c r="CB9" i="19" s="1"/>
  <c r="CC9" i="19" s="1"/>
  <c r="CD9" i="19" s="1"/>
  <c r="CE9" i="19" s="1"/>
  <c r="CF9" i="19" s="1"/>
  <c r="CG9" i="19" s="1"/>
  <c r="CH9" i="19" s="1"/>
  <c r="CI9" i="19" s="1"/>
  <c r="CJ9" i="19" s="1"/>
  <c r="CK9" i="19" s="1"/>
  <c r="CL9" i="19" s="1"/>
  <c r="CM9" i="19" s="1"/>
  <c r="CN9" i="19" s="1"/>
  <c r="CO9" i="19" s="1"/>
  <c r="CP9" i="19" s="1"/>
  <c r="CQ9" i="19" s="1"/>
  <c r="CR9" i="19" s="1"/>
  <c r="CS9" i="19" s="1"/>
  <c r="CT9" i="19" s="1"/>
  <c r="CU9" i="19" s="1"/>
  <c r="CV9" i="19" s="1"/>
  <c r="BV8" i="19"/>
  <c r="BW8" i="19" s="1"/>
  <c r="BX8" i="19" s="1"/>
  <c r="BY8" i="19" s="1"/>
  <c r="BZ8" i="19" s="1"/>
  <c r="CA8" i="19" s="1"/>
  <c r="CB8" i="19" s="1"/>
  <c r="CC8" i="19" s="1"/>
  <c r="CD8" i="19" s="1"/>
  <c r="CE8" i="19" s="1"/>
  <c r="CF8" i="19" s="1"/>
  <c r="CG8" i="19" s="1"/>
  <c r="CH8" i="19" s="1"/>
  <c r="CI8" i="19" s="1"/>
  <c r="CJ8" i="19" s="1"/>
  <c r="CK8" i="19" s="1"/>
  <c r="CL8" i="19" s="1"/>
  <c r="CM8" i="19" s="1"/>
  <c r="CN8" i="19" s="1"/>
  <c r="CO8" i="19" s="1"/>
  <c r="CP8" i="19" s="1"/>
  <c r="CQ8" i="19" s="1"/>
  <c r="CR8" i="19" s="1"/>
  <c r="CS8" i="19" s="1"/>
  <c r="CT8" i="19" s="1"/>
  <c r="CU8" i="19" s="1"/>
  <c r="CV8" i="19" s="1"/>
  <c r="BV7" i="19"/>
  <c r="BW7" i="19" s="1"/>
  <c r="BX7" i="19" s="1"/>
  <c r="BY7" i="19" s="1"/>
  <c r="BZ7" i="19" s="1"/>
  <c r="CA7" i="19" s="1"/>
  <c r="CB7" i="19" s="1"/>
  <c r="CC7" i="19" s="1"/>
  <c r="CD7" i="19" s="1"/>
  <c r="CE7" i="19" s="1"/>
  <c r="CF7" i="19" s="1"/>
  <c r="CG7" i="19" s="1"/>
  <c r="CH7" i="19" s="1"/>
  <c r="CI7" i="19" s="1"/>
  <c r="CJ7" i="19" s="1"/>
  <c r="CK7" i="19" s="1"/>
  <c r="CL7" i="19" s="1"/>
  <c r="CM7" i="19" s="1"/>
  <c r="CN7" i="19" s="1"/>
  <c r="CO7" i="19" s="1"/>
  <c r="CP7" i="19" s="1"/>
  <c r="CQ7" i="19" s="1"/>
  <c r="CR7" i="19" s="1"/>
  <c r="CS7" i="19" s="1"/>
  <c r="CT7" i="19" s="1"/>
  <c r="CU7" i="19" s="1"/>
  <c r="CV7" i="19" s="1"/>
  <c r="BV6" i="19"/>
  <c r="BW6" i="19" s="1"/>
  <c r="BX6" i="19" s="1"/>
  <c r="BY6" i="19" s="1"/>
  <c r="BZ6" i="19" s="1"/>
  <c r="CA6" i="19" s="1"/>
  <c r="CB6" i="19" s="1"/>
  <c r="CC6" i="19" s="1"/>
  <c r="CD6" i="19" s="1"/>
  <c r="CE6" i="19" s="1"/>
  <c r="CF6" i="19" s="1"/>
  <c r="CG6" i="19" s="1"/>
  <c r="CH6" i="19" s="1"/>
  <c r="CI6" i="19" s="1"/>
  <c r="CJ6" i="19" s="1"/>
  <c r="CK6" i="19" s="1"/>
  <c r="CL6" i="19" s="1"/>
  <c r="CM6" i="19" s="1"/>
  <c r="CN6" i="19" s="1"/>
  <c r="CO6" i="19" s="1"/>
  <c r="CP6" i="19" s="1"/>
  <c r="CQ6" i="19" s="1"/>
  <c r="CR6" i="19" s="1"/>
  <c r="CS6" i="19" s="1"/>
  <c r="CT6" i="19" s="1"/>
  <c r="CU6" i="19" s="1"/>
  <c r="CV6" i="19" s="1"/>
  <c r="BW5" i="19"/>
  <c r="BX5" i="19" s="1"/>
  <c r="BY5" i="19" s="1"/>
  <c r="BZ5" i="19" s="1"/>
  <c r="CA5" i="19" s="1"/>
  <c r="CB5" i="19" s="1"/>
  <c r="CC5" i="19" s="1"/>
  <c r="CD5" i="19" s="1"/>
  <c r="CE5" i="19" s="1"/>
  <c r="CF5" i="19" s="1"/>
  <c r="CG5" i="19" s="1"/>
  <c r="CH5" i="19" s="1"/>
  <c r="CI5" i="19" s="1"/>
  <c r="CJ5" i="19" s="1"/>
  <c r="CK5" i="19" s="1"/>
  <c r="CL5" i="19" s="1"/>
  <c r="CM5" i="19" s="1"/>
  <c r="CN5" i="19" s="1"/>
  <c r="CO5" i="19" s="1"/>
  <c r="CP5" i="19" s="1"/>
  <c r="CQ5" i="19" s="1"/>
  <c r="CR5" i="19" s="1"/>
  <c r="CS5" i="19" s="1"/>
  <c r="CT5" i="19" s="1"/>
  <c r="CU5" i="19" s="1"/>
  <c r="CV5" i="19" s="1"/>
  <c r="BW4" i="19"/>
  <c r="BX4" i="19" s="1"/>
  <c r="BY4" i="19" s="1"/>
  <c r="BZ4" i="19" s="1"/>
  <c r="CA4" i="19" s="1"/>
  <c r="CB4" i="19" s="1"/>
  <c r="CC4" i="19" s="1"/>
  <c r="CD4" i="19" s="1"/>
  <c r="CE4" i="19" s="1"/>
  <c r="CF4" i="19" s="1"/>
  <c r="CG4" i="19" s="1"/>
  <c r="CH4" i="19" s="1"/>
  <c r="CI4" i="19" s="1"/>
  <c r="CJ4" i="19" s="1"/>
  <c r="CK4" i="19" s="1"/>
  <c r="CL4" i="19" s="1"/>
  <c r="CM4" i="19" s="1"/>
  <c r="CN4" i="19" s="1"/>
  <c r="CO4" i="19" s="1"/>
  <c r="CP4" i="19" s="1"/>
  <c r="CQ4" i="19" s="1"/>
  <c r="CR4" i="19" s="1"/>
  <c r="CS4" i="19" s="1"/>
  <c r="CT4" i="19" s="1"/>
  <c r="CU4" i="19" s="1"/>
  <c r="CV4" i="19" s="1"/>
  <c r="BW3" i="19"/>
  <c r="BX3" i="19" s="1"/>
  <c r="BY3" i="19" s="1"/>
  <c r="BZ3" i="19" s="1"/>
  <c r="CA3" i="19" s="1"/>
  <c r="CB3" i="19" s="1"/>
  <c r="CC3" i="19" s="1"/>
  <c r="CD3" i="19" s="1"/>
  <c r="CE3" i="19" s="1"/>
  <c r="CF3" i="19" s="1"/>
  <c r="CG3" i="19" s="1"/>
  <c r="CH3" i="19" s="1"/>
  <c r="CI3" i="19" s="1"/>
  <c r="CJ3" i="19" s="1"/>
  <c r="CK3" i="19" s="1"/>
  <c r="CL3" i="19" s="1"/>
  <c r="CM3" i="19" s="1"/>
  <c r="CN3" i="19" s="1"/>
  <c r="CO3" i="19" s="1"/>
  <c r="CP3" i="19" s="1"/>
  <c r="CQ3" i="19" s="1"/>
  <c r="CR3" i="19" s="1"/>
  <c r="CS3" i="19" s="1"/>
  <c r="CT3" i="19" s="1"/>
  <c r="CU3" i="19" s="1"/>
  <c r="CV3" i="19" s="1"/>
  <c r="BW2" i="19"/>
  <c r="BX2" i="19" s="1"/>
  <c r="BY2" i="19" s="1"/>
  <c r="BZ2" i="19" s="1"/>
  <c r="CA2" i="19" s="1"/>
  <c r="CB2" i="19" s="1"/>
  <c r="CC2" i="19" s="1"/>
  <c r="CD2" i="19" s="1"/>
  <c r="CE2" i="19" s="1"/>
  <c r="CF2" i="19" s="1"/>
  <c r="CG2" i="19" s="1"/>
  <c r="CH2" i="19" s="1"/>
  <c r="CI2" i="19" s="1"/>
  <c r="CJ2" i="19" s="1"/>
  <c r="CK2" i="19" s="1"/>
  <c r="CL2" i="19" s="1"/>
  <c r="CM2" i="19" s="1"/>
  <c r="CN2" i="19" s="1"/>
  <c r="CO2" i="19" s="1"/>
  <c r="CP2" i="19" s="1"/>
  <c r="CQ2" i="19" s="1"/>
  <c r="CR2" i="19" s="1"/>
  <c r="CS2" i="19" s="1"/>
  <c r="CT2" i="19" s="1"/>
  <c r="CU2" i="19" s="1"/>
  <c r="CV2" i="19" s="1"/>
  <c r="BW1" i="19"/>
  <c r="BX1" i="19" s="1"/>
  <c r="BY1" i="19" s="1"/>
  <c r="BZ1" i="19" s="1"/>
  <c r="CA1" i="19" s="1"/>
  <c r="CB1" i="19" s="1"/>
  <c r="CC1" i="19" s="1"/>
  <c r="CD1" i="19" s="1"/>
  <c r="CE1" i="19" s="1"/>
  <c r="CF1" i="19" s="1"/>
  <c r="CG1" i="19" s="1"/>
  <c r="CH1" i="19" s="1"/>
  <c r="CI1" i="19" s="1"/>
  <c r="CJ1" i="19" s="1"/>
  <c r="CK1" i="19" s="1"/>
  <c r="CL1" i="19" s="1"/>
  <c r="CM1" i="19" s="1"/>
  <c r="CN1" i="19" s="1"/>
  <c r="CO1" i="19" s="1"/>
  <c r="CP1" i="19" s="1"/>
  <c r="CQ1" i="19" s="1"/>
  <c r="CR1" i="19" s="1"/>
  <c r="CS1" i="19" s="1"/>
  <c r="CT1" i="19" s="1"/>
  <c r="CU1" i="19" s="1"/>
  <c r="CV1" i="19" s="1"/>
  <c r="BV5" i="19"/>
  <c r="BV4" i="19"/>
  <c r="BV3" i="19"/>
  <c r="BV2" i="19"/>
  <c r="BV1" i="19"/>
  <c r="BA5" i="19"/>
  <c r="BB5" i="19" s="1"/>
  <c r="BC5" i="19" s="1"/>
  <c r="BD5" i="19" s="1"/>
  <c r="BE5" i="19" s="1"/>
  <c r="BF5" i="19" s="1"/>
  <c r="BG5" i="19" s="1"/>
  <c r="BH5" i="19" s="1"/>
  <c r="BI5" i="19" s="1"/>
  <c r="BJ5" i="19" s="1"/>
  <c r="BK5" i="19" s="1"/>
  <c r="BL5" i="19" s="1"/>
  <c r="BM5" i="19" s="1"/>
  <c r="BN5" i="19" s="1"/>
  <c r="BO5" i="19" s="1"/>
  <c r="BP5" i="19" s="1"/>
  <c r="BQ5" i="19" s="1"/>
  <c r="BR5" i="19" s="1"/>
  <c r="BS5" i="19" s="1"/>
  <c r="BT5" i="19" s="1"/>
  <c r="BU5" i="19" s="1"/>
  <c r="AZ5" i="19"/>
  <c r="AZ4" i="19"/>
  <c r="BA4" i="19" s="1"/>
  <c r="BB4" i="19" s="1"/>
  <c r="BC4" i="19" s="1"/>
  <c r="BD4" i="19" s="1"/>
  <c r="BE4" i="19" s="1"/>
  <c r="BF4" i="19" s="1"/>
  <c r="BG4" i="19" s="1"/>
  <c r="BH4" i="19" s="1"/>
  <c r="BI4" i="19" s="1"/>
  <c r="BJ4" i="19" s="1"/>
  <c r="BK4" i="19" s="1"/>
  <c r="BL4" i="19" s="1"/>
  <c r="BM4" i="19" s="1"/>
  <c r="BN4" i="19" s="1"/>
  <c r="BO4" i="19" s="1"/>
  <c r="BP4" i="19" s="1"/>
  <c r="BQ4" i="19" s="1"/>
  <c r="BR4" i="19" s="1"/>
  <c r="BS4" i="19" s="1"/>
  <c r="BT4" i="19" s="1"/>
  <c r="BU4" i="19" s="1"/>
  <c r="BA3" i="19"/>
  <c r="BB3" i="19" s="1"/>
  <c r="BC3" i="19" s="1"/>
  <c r="BD3" i="19" s="1"/>
  <c r="BE3" i="19" s="1"/>
  <c r="BF3" i="19" s="1"/>
  <c r="BG3" i="19" s="1"/>
  <c r="BH3" i="19" s="1"/>
  <c r="BI3" i="19" s="1"/>
  <c r="BJ3" i="19" s="1"/>
  <c r="BK3" i="19" s="1"/>
  <c r="BL3" i="19" s="1"/>
  <c r="BM3" i="19" s="1"/>
  <c r="BN3" i="19" s="1"/>
  <c r="BO3" i="19" s="1"/>
  <c r="BP3" i="19" s="1"/>
  <c r="BQ3" i="19" s="1"/>
  <c r="BR3" i="19" s="1"/>
  <c r="BS3" i="19" s="1"/>
  <c r="BT3" i="19" s="1"/>
  <c r="BU3" i="19" s="1"/>
  <c r="AZ3" i="19"/>
  <c r="AZ2" i="19"/>
  <c r="BA2" i="19" s="1"/>
  <c r="BB2" i="19" s="1"/>
  <c r="BC2" i="19" s="1"/>
  <c r="BD2" i="19" s="1"/>
  <c r="BE2" i="19" s="1"/>
  <c r="BF2" i="19" s="1"/>
  <c r="BG2" i="19" s="1"/>
  <c r="BH2" i="19" s="1"/>
  <c r="BI2" i="19" s="1"/>
  <c r="BJ2" i="19" s="1"/>
  <c r="BK2" i="19" s="1"/>
  <c r="BL2" i="19" s="1"/>
  <c r="BM2" i="19" s="1"/>
  <c r="BN2" i="19" s="1"/>
  <c r="BO2" i="19" s="1"/>
  <c r="BP2" i="19" s="1"/>
  <c r="BQ2" i="19" s="1"/>
  <c r="BR2" i="19" s="1"/>
  <c r="BS2" i="19" s="1"/>
  <c r="BT2" i="19" s="1"/>
  <c r="BU2" i="19" s="1"/>
  <c r="AZ1" i="19"/>
  <c r="BA1" i="19" s="1"/>
  <c r="BB1" i="19" s="1"/>
  <c r="BC1" i="19" s="1"/>
  <c r="BD1" i="19" s="1"/>
  <c r="BE1" i="19" s="1"/>
  <c r="BF1" i="19" s="1"/>
  <c r="BG1" i="19" s="1"/>
  <c r="BH1" i="19" s="1"/>
  <c r="BI1" i="19" s="1"/>
  <c r="BJ1" i="19" s="1"/>
  <c r="BK1" i="19" s="1"/>
  <c r="BL1" i="19" s="1"/>
  <c r="BM1" i="19" s="1"/>
  <c r="BN1" i="19" s="1"/>
  <c r="BO1" i="19" s="1"/>
  <c r="BP1" i="19" s="1"/>
  <c r="BQ1" i="19" s="1"/>
  <c r="BR1" i="19" s="1"/>
  <c r="BS1" i="19" s="1"/>
  <c r="BT1" i="19" s="1"/>
  <c r="BU1" i="19" s="1"/>
  <c r="AY5" i="19"/>
  <c r="AY4" i="19"/>
  <c r="AY3" i="19"/>
  <c r="AY2" i="19"/>
  <c r="AY1" i="19"/>
  <c r="BW5" i="18"/>
  <c r="BX5" i="18" s="1"/>
  <c r="BY5" i="18" s="1"/>
  <c r="BZ5" i="18" s="1"/>
  <c r="CA5" i="18" s="1"/>
  <c r="CB5" i="18" s="1"/>
  <c r="CC5" i="18" s="1"/>
  <c r="CD5" i="18" s="1"/>
  <c r="CE5" i="18" s="1"/>
  <c r="CF5" i="18" s="1"/>
  <c r="CG5" i="18" s="1"/>
  <c r="CH5" i="18" s="1"/>
  <c r="CI5" i="18" s="1"/>
  <c r="CJ5" i="18" s="1"/>
  <c r="CK5" i="18" s="1"/>
  <c r="CL5" i="18" s="1"/>
  <c r="CM5" i="18" s="1"/>
  <c r="CN5" i="18" s="1"/>
  <c r="CO5" i="18" s="1"/>
  <c r="CP5" i="18" s="1"/>
  <c r="CQ5" i="18" s="1"/>
  <c r="CR5" i="18" s="1"/>
  <c r="CS5" i="18" s="1"/>
  <c r="CT5" i="18" s="1"/>
  <c r="CU5" i="18" s="1"/>
  <c r="CV5" i="18" s="1"/>
  <c r="BY4" i="18"/>
  <c r="BZ4" i="18" s="1"/>
  <c r="CA4" i="18" s="1"/>
  <c r="CB4" i="18" s="1"/>
  <c r="CC4" i="18" s="1"/>
  <c r="CD4" i="18" s="1"/>
  <c r="CE4" i="18" s="1"/>
  <c r="CF4" i="18" s="1"/>
  <c r="CG4" i="18" s="1"/>
  <c r="CH4" i="18" s="1"/>
  <c r="CI4" i="18" s="1"/>
  <c r="CJ4" i="18" s="1"/>
  <c r="CK4" i="18" s="1"/>
  <c r="CL4" i="18" s="1"/>
  <c r="CM4" i="18" s="1"/>
  <c r="CN4" i="18" s="1"/>
  <c r="CO4" i="18" s="1"/>
  <c r="CP4" i="18" s="1"/>
  <c r="CQ4" i="18" s="1"/>
  <c r="CR4" i="18" s="1"/>
  <c r="CS4" i="18" s="1"/>
  <c r="CT4" i="18" s="1"/>
  <c r="CU4" i="18" s="1"/>
  <c r="CV4" i="18" s="1"/>
  <c r="BX4" i="18"/>
  <c r="BW4" i="18"/>
  <c r="BX3" i="18"/>
  <c r="BY3" i="18" s="1"/>
  <c r="BZ3" i="18" s="1"/>
  <c r="CA3" i="18" s="1"/>
  <c r="CB3" i="18" s="1"/>
  <c r="CC3" i="18" s="1"/>
  <c r="CD3" i="18" s="1"/>
  <c r="CE3" i="18" s="1"/>
  <c r="CF3" i="18" s="1"/>
  <c r="CG3" i="18" s="1"/>
  <c r="CH3" i="18" s="1"/>
  <c r="CI3" i="18" s="1"/>
  <c r="CJ3" i="18" s="1"/>
  <c r="CK3" i="18" s="1"/>
  <c r="CL3" i="18" s="1"/>
  <c r="CM3" i="18" s="1"/>
  <c r="CN3" i="18" s="1"/>
  <c r="CO3" i="18" s="1"/>
  <c r="CP3" i="18" s="1"/>
  <c r="CQ3" i="18" s="1"/>
  <c r="CR3" i="18" s="1"/>
  <c r="CS3" i="18" s="1"/>
  <c r="CT3" i="18" s="1"/>
  <c r="CU3" i="18" s="1"/>
  <c r="CV3" i="18" s="1"/>
  <c r="BW3" i="18"/>
  <c r="BW2" i="18"/>
  <c r="BX2" i="18" s="1"/>
  <c r="BY2" i="18" s="1"/>
  <c r="BZ2" i="18" s="1"/>
  <c r="CA2" i="18" s="1"/>
  <c r="CB2" i="18" s="1"/>
  <c r="CC2" i="18" s="1"/>
  <c r="CD2" i="18" s="1"/>
  <c r="CE2" i="18" s="1"/>
  <c r="CF2" i="18" s="1"/>
  <c r="CG2" i="18" s="1"/>
  <c r="CH2" i="18" s="1"/>
  <c r="CI2" i="18" s="1"/>
  <c r="CJ2" i="18" s="1"/>
  <c r="CK2" i="18" s="1"/>
  <c r="CL2" i="18" s="1"/>
  <c r="CM2" i="18" s="1"/>
  <c r="CN2" i="18" s="1"/>
  <c r="CO2" i="18" s="1"/>
  <c r="CP2" i="18" s="1"/>
  <c r="CQ2" i="18" s="1"/>
  <c r="CR2" i="18" s="1"/>
  <c r="CS2" i="18" s="1"/>
  <c r="CT2" i="18" s="1"/>
  <c r="CU2" i="18" s="1"/>
  <c r="CV2" i="18" s="1"/>
  <c r="BW1" i="18"/>
  <c r="BX1" i="18" s="1"/>
  <c r="BY1" i="18" s="1"/>
  <c r="BZ1" i="18" s="1"/>
  <c r="CA1" i="18" s="1"/>
  <c r="CB1" i="18" s="1"/>
  <c r="CC1" i="18" s="1"/>
  <c r="CD1" i="18" s="1"/>
  <c r="CE1" i="18" s="1"/>
  <c r="CF1" i="18" s="1"/>
  <c r="CG1" i="18" s="1"/>
  <c r="CH1" i="18" s="1"/>
  <c r="CI1" i="18" s="1"/>
  <c r="CJ1" i="18" s="1"/>
  <c r="CK1" i="18" s="1"/>
  <c r="CL1" i="18" s="1"/>
  <c r="CM1" i="18" s="1"/>
  <c r="CN1" i="18" s="1"/>
  <c r="CO1" i="18" s="1"/>
  <c r="CP1" i="18" s="1"/>
  <c r="CQ1" i="18" s="1"/>
  <c r="CR1" i="18" s="1"/>
  <c r="CS1" i="18" s="1"/>
  <c r="CT1" i="18" s="1"/>
  <c r="CU1" i="18" s="1"/>
  <c r="CV1" i="18" s="1"/>
  <c r="BV5" i="18"/>
  <c r="BV4" i="18"/>
  <c r="BV3" i="18"/>
  <c r="BV2" i="18"/>
  <c r="BV1" i="18"/>
  <c r="BA5" i="18"/>
  <c r="BB5" i="18" s="1"/>
  <c r="BC5" i="18" s="1"/>
  <c r="BD5" i="18" s="1"/>
  <c r="BE5" i="18" s="1"/>
  <c r="BF5" i="18" s="1"/>
  <c r="BG5" i="18" s="1"/>
  <c r="BH5" i="18" s="1"/>
  <c r="BI5" i="18" s="1"/>
  <c r="BJ5" i="18" s="1"/>
  <c r="BK5" i="18" s="1"/>
  <c r="BL5" i="18" s="1"/>
  <c r="BM5" i="18" s="1"/>
  <c r="BN5" i="18" s="1"/>
  <c r="BO5" i="18" s="1"/>
  <c r="BP5" i="18" s="1"/>
  <c r="BQ5" i="18" s="1"/>
  <c r="BR5" i="18" s="1"/>
  <c r="BS5" i="18" s="1"/>
  <c r="BT5" i="18" s="1"/>
  <c r="BU5" i="18" s="1"/>
  <c r="BA4" i="18"/>
  <c r="BB4" i="18" s="1"/>
  <c r="BC4" i="18" s="1"/>
  <c r="BD4" i="18" s="1"/>
  <c r="BE4" i="18" s="1"/>
  <c r="BF4" i="18" s="1"/>
  <c r="BG4" i="18" s="1"/>
  <c r="BH4" i="18" s="1"/>
  <c r="BI4" i="18" s="1"/>
  <c r="BJ4" i="18" s="1"/>
  <c r="BK4" i="18" s="1"/>
  <c r="BL4" i="18" s="1"/>
  <c r="BM4" i="18" s="1"/>
  <c r="BN4" i="18" s="1"/>
  <c r="BO4" i="18" s="1"/>
  <c r="BP4" i="18" s="1"/>
  <c r="BQ4" i="18" s="1"/>
  <c r="BR4" i="18" s="1"/>
  <c r="BS4" i="18" s="1"/>
  <c r="BT4" i="18" s="1"/>
  <c r="BU4" i="18" s="1"/>
  <c r="BA3" i="18"/>
  <c r="BB3" i="18" s="1"/>
  <c r="BC3" i="18" s="1"/>
  <c r="BD3" i="18" s="1"/>
  <c r="BE3" i="18" s="1"/>
  <c r="BF3" i="18" s="1"/>
  <c r="BG3" i="18" s="1"/>
  <c r="BH3" i="18" s="1"/>
  <c r="BI3" i="18" s="1"/>
  <c r="BJ3" i="18" s="1"/>
  <c r="BK3" i="18" s="1"/>
  <c r="BL3" i="18" s="1"/>
  <c r="BM3" i="18" s="1"/>
  <c r="BN3" i="18" s="1"/>
  <c r="BO3" i="18" s="1"/>
  <c r="BP3" i="18" s="1"/>
  <c r="BQ3" i="18" s="1"/>
  <c r="BR3" i="18" s="1"/>
  <c r="BS3" i="18" s="1"/>
  <c r="BT3" i="18" s="1"/>
  <c r="BU3" i="18" s="1"/>
  <c r="BA2" i="18"/>
  <c r="BB2" i="18" s="1"/>
  <c r="BC2" i="18" s="1"/>
  <c r="BD2" i="18" s="1"/>
  <c r="BE2" i="18" s="1"/>
  <c r="BF2" i="18" s="1"/>
  <c r="BG2" i="18" s="1"/>
  <c r="BH2" i="18" s="1"/>
  <c r="BI2" i="18" s="1"/>
  <c r="BJ2" i="18" s="1"/>
  <c r="BK2" i="18" s="1"/>
  <c r="BL2" i="18" s="1"/>
  <c r="BM2" i="18" s="1"/>
  <c r="BN2" i="18" s="1"/>
  <c r="BO2" i="18" s="1"/>
  <c r="BP2" i="18" s="1"/>
  <c r="BQ2" i="18" s="1"/>
  <c r="BR2" i="18" s="1"/>
  <c r="BS2" i="18" s="1"/>
  <c r="BT2" i="18" s="1"/>
  <c r="BU2" i="18" s="1"/>
  <c r="BA1" i="18"/>
  <c r="BB1" i="18" s="1"/>
  <c r="BC1" i="18" s="1"/>
  <c r="BD1" i="18" s="1"/>
  <c r="BE1" i="18" s="1"/>
  <c r="BF1" i="18" s="1"/>
  <c r="BG1" i="18" s="1"/>
  <c r="BH1" i="18" s="1"/>
  <c r="BI1" i="18" s="1"/>
  <c r="BJ1" i="18" s="1"/>
  <c r="BK1" i="18" s="1"/>
  <c r="BL1" i="18" s="1"/>
  <c r="BM1" i="18" s="1"/>
  <c r="BN1" i="18" s="1"/>
  <c r="BO1" i="18" s="1"/>
  <c r="BP1" i="18" s="1"/>
  <c r="BQ1" i="18" s="1"/>
  <c r="BR1" i="18" s="1"/>
  <c r="BS1" i="18" s="1"/>
  <c r="BT1" i="18" s="1"/>
  <c r="BU1" i="18" s="1"/>
  <c r="BV9" i="17"/>
  <c r="BW9" i="17" s="1"/>
  <c r="BX9" i="17" s="1"/>
  <c r="BY9" i="17" s="1"/>
  <c r="BZ9" i="17" s="1"/>
  <c r="CA9" i="17" s="1"/>
  <c r="CB9" i="17" s="1"/>
  <c r="CC9" i="17" s="1"/>
  <c r="CD9" i="17" s="1"/>
  <c r="CE9" i="17" s="1"/>
  <c r="CF9" i="17" s="1"/>
  <c r="CG9" i="17" s="1"/>
  <c r="CH9" i="17" s="1"/>
  <c r="CI9" i="17" s="1"/>
  <c r="CJ9" i="17" s="1"/>
  <c r="CK9" i="17" s="1"/>
  <c r="CL9" i="17" s="1"/>
  <c r="CM9" i="17" s="1"/>
  <c r="CN9" i="17" s="1"/>
  <c r="CO9" i="17" s="1"/>
  <c r="CP9" i="17" s="1"/>
  <c r="CQ9" i="17" s="1"/>
  <c r="CR9" i="17" s="1"/>
  <c r="CS9" i="17" s="1"/>
  <c r="CT9" i="17" s="1"/>
  <c r="CU9" i="17" s="1"/>
  <c r="BV7" i="17"/>
  <c r="BW7" i="17" s="1"/>
  <c r="BX7" i="17" s="1"/>
  <c r="BY7" i="17" s="1"/>
  <c r="BZ7" i="17" s="1"/>
  <c r="CA7" i="17" s="1"/>
  <c r="CB7" i="17" s="1"/>
  <c r="CC7" i="17" s="1"/>
  <c r="CD7" i="17" s="1"/>
  <c r="CE7" i="17" s="1"/>
  <c r="CF7" i="17" s="1"/>
  <c r="CG7" i="17" s="1"/>
  <c r="CH7" i="17" s="1"/>
  <c r="CI7" i="17" s="1"/>
  <c r="CJ7" i="17" s="1"/>
  <c r="CK7" i="17" s="1"/>
  <c r="CL7" i="17" s="1"/>
  <c r="CM7" i="17" s="1"/>
  <c r="CN7" i="17" s="1"/>
  <c r="CO7" i="17" s="1"/>
  <c r="CP7" i="17" s="1"/>
  <c r="CQ7" i="17" s="1"/>
  <c r="CR7" i="17" s="1"/>
  <c r="CS7" i="17" s="1"/>
  <c r="CT7" i="17" s="1"/>
  <c r="CU7" i="17" s="1"/>
  <c r="BV5" i="17"/>
  <c r="BW5" i="17" s="1"/>
  <c r="BX5" i="17" s="1"/>
  <c r="BY5" i="17" s="1"/>
  <c r="BZ5" i="17" s="1"/>
  <c r="CA5" i="17" s="1"/>
  <c r="CB5" i="17" s="1"/>
  <c r="CC5" i="17" s="1"/>
  <c r="CD5" i="17" s="1"/>
  <c r="CE5" i="17" s="1"/>
  <c r="CF5" i="17" s="1"/>
  <c r="CG5" i="17" s="1"/>
  <c r="CH5" i="17" s="1"/>
  <c r="CI5" i="17" s="1"/>
  <c r="CJ5" i="17" s="1"/>
  <c r="CK5" i="17" s="1"/>
  <c r="CL5" i="17" s="1"/>
  <c r="CM5" i="17" s="1"/>
  <c r="CN5" i="17" s="1"/>
  <c r="CO5" i="17" s="1"/>
  <c r="CP5" i="17" s="1"/>
  <c r="CQ5" i="17" s="1"/>
  <c r="CR5" i="17" s="1"/>
  <c r="CS5" i="17" s="1"/>
  <c r="CT5" i="17" s="1"/>
  <c r="CU5" i="17" s="1"/>
  <c r="BV3" i="17"/>
  <c r="BW3" i="17" s="1"/>
  <c r="BX3" i="17" s="1"/>
  <c r="BY3" i="17" s="1"/>
  <c r="BZ3" i="17" s="1"/>
  <c r="CA3" i="17" s="1"/>
  <c r="CB3" i="17" s="1"/>
  <c r="CC3" i="17" s="1"/>
  <c r="CD3" i="17" s="1"/>
  <c r="CE3" i="17" s="1"/>
  <c r="CF3" i="17" s="1"/>
  <c r="CG3" i="17" s="1"/>
  <c r="CH3" i="17" s="1"/>
  <c r="CI3" i="17" s="1"/>
  <c r="CJ3" i="17" s="1"/>
  <c r="CK3" i="17" s="1"/>
  <c r="CL3" i="17" s="1"/>
  <c r="CM3" i="17" s="1"/>
  <c r="CN3" i="17" s="1"/>
  <c r="CO3" i="17" s="1"/>
  <c r="CP3" i="17" s="1"/>
  <c r="CQ3" i="17" s="1"/>
  <c r="CR3" i="17" s="1"/>
  <c r="CS3" i="17" s="1"/>
  <c r="CT3" i="17" s="1"/>
  <c r="CU3" i="17" s="1"/>
  <c r="BW1" i="17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CL1" i="17" s="1"/>
  <c r="CM1" i="17" s="1"/>
  <c r="CN1" i="17" s="1"/>
  <c r="CO1" i="17" s="1"/>
  <c r="CP1" i="17" s="1"/>
  <c r="CQ1" i="17" s="1"/>
  <c r="CR1" i="17" s="1"/>
  <c r="CS1" i="17" s="1"/>
  <c r="CT1" i="17" s="1"/>
  <c r="CU1" i="17" s="1"/>
  <c r="BV1" i="17"/>
  <c r="BU1" i="17"/>
  <c r="BU3" i="17"/>
  <c r="BU5" i="17"/>
  <c r="BU7" i="17"/>
  <c r="BU9" i="17"/>
  <c r="AZ5" i="18"/>
  <c r="AZ4" i="18"/>
  <c r="AZ3" i="18"/>
  <c r="AZ2" i="18"/>
  <c r="AZ1" i="18"/>
  <c r="D14" i="24"/>
  <c r="E14" i="24" s="1"/>
  <c r="F14" i="24" s="1"/>
  <c r="G14" i="24" s="1"/>
  <c r="H14" i="24" s="1"/>
  <c r="I14" i="24" s="1"/>
  <c r="J14" i="24" s="1"/>
  <c r="K14" i="24" s="1"/>
  <c r="L14" i="24" s="1"/>
  <c r="M14" i="24" s="1"/>
  <c r="N14" i="24" s="1"/>
  <c r="O14" i="24" s="1"/>
  <c r="P14" i="24" s="1"/>
  <c r="Q14" i="24" s="1"/>
  <c r="R14" i="24" s="1"/>
  <c r="S14" i="24" s="1"/>
  <c r="T14" i="24" s="1"/>
  <c r="U14" i="24" s="1"/>
  <c r="V14" i="24" s="1"/>
  <c r="W14" i="24" s="1"/>
  <c r="X14" i="24" s="1"/>
  <c r="Y14" i="24" s="1"/>
  <c r="Z14" i="24" s="1"/>
  <c r="AA14" i="24" s="1"/>
  <c r="AB14" i="24" s="1"/>
  <c r="AC14" i="24" s="1"/>
  <c r="AD14" i="24" s="1"/>
  <c r="AE14" i="24" s="1"/>
  <c r="AF14" i="24" s="1"/>
  <c r="AG14" i="24" s="1"/>
  <c r="AH14" i="24" s="1"/>
  <c r="AI14" i="24" s="1"/>
  <c r="AJ14" i="24" s="1"/>
  <c r="AK14" i="24" s="1"/>
  <c r="AL14" i="24" s="1"/>
  <c r="AM14" i="24" s="1"/>
  <c r="AN14" i="24" s="1"/>
  <c r="AO14" i="24" s="1"/>
  <c r="AP14" i="24" s="1"/>
  <c r="AQ14" i="24" s="1"/>
  <c r="AR14" i="24" s="1"/>
  <c r="AS14" i="24" s="1"/>
  <c r="AT14" i="24" s="1"/>
  <c r="AU14" i="24" s="1"/>
  <c r="AV14" i="24" s="1"/>
  <c r="AW14" i="24" s="1"/>
  <c r="AX14" i="24" s="1"/>
  <c r="AY14" i="24" s="1"/>
  <c r="AZ14" i="24" s="1"/>
  <c r="BA14" i="24" s="1"/>
  <c r="BB14" i="24" s="1"/>
  <c r="BC14" i="24" s="1"/>
  <c r="BD14" i="24" s="1"/>
  <c r="BE14" i="24" s="1"/>
  <c r="BF14" i="24" s="1"/>
  <c r="BG14" i="24" s="1"/>
  <c r="BH14" i="24" s="1"/>
  <c r="BI14" i="24" s="1"/>
  <c r="BJ14" i="24" s="1"/>
  <c r="BK14" i="24" s="1"/>
  <c r="BL14" i="24" s="1"/>
  <c r="BM14" i="24" s="1"/>
  <c r="BN14" i="24" s="1"/>
  <c r="BO14" i="24" s="1"/>
  <c r="BP14" i="24" s="1"/>
  <c r="BQ14" i="24" s="1"/>
  <c r="BR14" i="24" s="1"/>
  <c r="BS14" i="24" s="1"/>
  <c r="BT14" i="24" s="1"/>
  <c r="BU14" i="24" s="1"/>
  <c r="BV14" i="24" s="1"/>
  <c r="BW14" i="24" s="1"/>
  <c r="BX14" i="24" s="1"/>
  <c r="BY14" i="24" s="1"/>
  <c r="BZ14" i="24" s="1"/>
  <c r="CA14" i="24" s="1"/>
  <c r="CB14" i="24" s="1"/>
  <c r="CC14" i="24" s="1"/>
  <c r="CD14" i="24" s="1"/>
  <c r="CE14" i="24" s="1"/>
  <c r="CF14" i="24" s="1"/>
  <c r="CG14" i="24" s="1"/>
  <c r="CH14" i="24" s="1"/>
  <c r="CI14" i="24" s="1"/>
  <c r="CJ14" i="24" s="1"/>
  <c r="CK14" i="24" s="1"/>
  <c r="CL14" i="24" s="1"/>
  <c r="CM14" i="24" s="1"/>
  <c r="CN14" i="24" s="1"/>
  <c r="CO14" i="24" s="1"/>
  <c r="CP14" i="24" s="1"/>
  <c r="CQ14" i="24" s="1"/>
  <c r="CR14" i="24" s="1"/>
  <c r="CS14" i="24" s="1"/>
  <c r="CT14" i="24" s="1"/>
  <c r="CU14" i="24" s="1"/>
  <c r="CV14" i="24" s="1"/>
  <c r="CW14" i="24" s="1"/>
  <c r="D14" i="21"/>
  <c r="E14" i="21" s="1"/>
  <c r="F14" i="21" s="1"/>
  <c r="G14" i="21" s="1"/>
  <c r="H14" i="21" s="1"/>
  <c r="I14" i="21" s="1"/>
  <c r="J14" i="21" s="1"/>
  <c r="K14" i="21" s="1"/>
  <c r="L14" i="21" s="1"/>
  <c r="M14" i="21" s="1"/>
  <c r="N14" i="21" s="1"/>
  <c r="O14" i="21" s="1"/>
  <c r="P14" i="21" s="1"/>
  <c r="Q14" i="21" s="1"/>
  <c r="R14" i="21" s="1"/>
  <c r="S14" i="21" s="1"/>
  <c r="T14" i="21" s="1"/>
  <c r="U14" i="21" s="1"/>
  <c r="V14" i="21" s="1"/>
  <c r="W14" i="21" s="1"/>
  <c r="X14" i="21" s="1"/>
  <c r="Y14" i="21" s="1"/>
  <c r="Z14" i="21" s="1"/>
  <c r="AA14" i="21" s="1"/>
  <c r="AB14" i="21" s="1"/>
  <c r="AC14" i="21" s="1"/>
  <c r="AD14" i="21" s="1"/>
  <c r="AE14" i="21" s="1"/>
  <c r="AF14" i="21" s="1"/>
  <c r="AG14" i="21" s="1"/>
  <c r="AH14" i="21" s="1"/>
  <c r="AI14" i="21" s="1"/>
  <c r="AJ14" i="21" s="1"/>
  <c r="AK14" i="21" s="1"/>
  <c r="AL14" i="21" s="1"/>
  <c r="AM14" i="21" s="1"/>
  <c r="AN14" i="21" s="1"/>
  <c r="AO14" i="21" s="1"/>
  <c r="AP14" i="21" s="1"/>
  <c r="AQ14" i="21" s="1"/>
  <c r="AR14" i="21" s="1"/>
  <c r="AS14" i="21" s="1"/>
  <c r="AT14" i="21" s="1"/>
  <c r="AU14" i="21" s="1"/>
  <c r="AV14" i="21" s="1"/>
  <c r="AW14" i="21" s="1"/>
  <c r="AX14" i="21" s="1"/>
  <c r="AY14" i="21" s="1"/>
  <c r="AZ14" i="21" s="1"/>
  <c r="BA14" i="21" s="1"/>
  <c r="BB14" i="21" s="1"/>
  <c r="BC14" i="21" s="1"/>
  <c r="BD14" i="21" s="1"/>
  <c r="BE14" i="21" s="1"/>
  <c r="BF14" i="21" s="1"/>
  <c r="BG14" i="21" s="1"/>
  <c r="BH14" i="21" s="1"/>
  <c r="BI14" i="21" s="1"/>
  <c r="BJ14" i="21" s="1"/>
  <c r="BK14" i="21" s="1"/>
  <c r="BL14" i="21" s="1"/>
  <c r="BM14" i="21" s="1"/>
  <c r="BN14" i="21" s="1"/>
  <c r="BO14" i="21" s="1"/>
  <c r="BP14" i="21" s="1"/>
  <c r="BQ14" i="21" s="1"/>
  <c r="BR14" i="21" s="1"/>
  <c r="BS14" i="21" s="1"/>
  <c r="BT14" i="21" s="1"/>
  <c r="BU14" i="21" s="1"/>
  <c r="BV14" i="21" s="1"/>
  <c r="BW14" i="21" s="1"/>
  <c r="BX14" i="21" s="1"/>
  <c r="BY14" i="21" s="1"/>
  <c r="BZ14" i="21" s="1"/>
  <c r="CA14" i="21" s="1"/>
  <c r="CB14" i="21" s="1"/>
  <c r="CC14" i="21" s="1"/>
  <c r="CD14" i="21" s="1"/>
  <c r="CE14" i="21" s="1"/>
  <c r="CF14" i="21" s="1"/>
  <c r="CG14" i="21" s="1"/>
  <c r="CH14" i="21" s="1"/>
  <c r="CI14" i="21" s="1"/>
  <c r="CJ14" i="21" s="1"/>
  <c r="CK14" i="21" s="1"/>
  <c r="CL14" i="21" s="1"/>
  <c r="CM14" i="21" s="1"/>
  <c r="CN14" i="21" s="1"/>
  <c r="CO14" i="21" s="1"/>
  <c r="CP14" i="21" s="1"/>
  <c r="CQ14" i="21" s="1"/>
  <c r="CR14" i="21" s="1"/>
  <c r="CS14" i="21" s="1"/>
  <c r="CT14" i="21" s="1"/>
  <c r="CU14" i="21" s="1"/>
  <c r="CV14" i="21" s="1"/>
  <c r="CW14" i="21" s="1"/>
  <c r="D14" i="20"/>
  <c r="E14" i="20" s="1"/>
  <c r="F14" i="20" s="1"/>
  <c r="G14" i="20" s="1"/>
  <c r="H14" i="20" s="1"/>
  <c r="I14" i="20" s="1"/>
  <c r="J14" i="20" s="1"/>
  <c r="K14" i="20" s="1"/>
  <c r="L14" i="20" s="1"/>
  <c r="M14" i="20" s="1"/>
  <c r="N14" i="20" s="1"/>
  <c r="O14" i="20" s="1"/>
  <c r="P14" i="20" s="1"/>
  <c r="Q14" i="20" s="1"/>
  <c r="R14" i="20" s="1"/>
  <c r="S14" i="20" s="1"/>
  <c r="T14" i="20" s="1"/>
  <c r="U14" i="20" s="1"/>
  <c r="V14" i="20" s="1"/>
  <c r="W14" i="20" s="1"/>
  <c r="X14" i="20" s="1"/>
  <c r="Y14" i="20" s="1"/>
  <c r="Z14" i="20" s="1"/>
  <c r="AA14" i="20" s="1"/>
  <c r="AB14" i="20" s="1"/>
  <c r="AC14" i="20" s="1"/>
  <c r="AD14" i="20" s="1"/>
  <c r="AE14" i="20" s="1"/>
  <c r="AF14" i="20" s="1"/>
  <c r="AG14" i="20" s="1"/>
  <c r="AH14" i="20" s="1"/>
  <c r="AI14" i="20" s="1"/>
  <c r="AJ14" i="20" s="1"/>
  <c r="AK14" i="20" s="1"/>
  <c r="AL14" i="20" s="1"/>
  <c r="AM14" i="20" s="1"/>
  <c r="AN14" i="20" s="1"/>
  <c r="AO14" i="20" s="1"/>
  <c r="AP14" i="20" s="1"/>
  <c r="AQ14" i="20" s="1"/>
  <c r="AR14" i="20" s="1"/>
  <c r="AS14" i="20" s="1"/>
  <c r="AT14" i="20" s="1"/>
  <c r="AU14" i="20" s="1"/>
  <c r="AV14" i="20" s="1"/>
  <c r="AW14" i="20" s="1"/>
  <c r="AX14" i="20" s="1"/>
  <c r="AY14" i="20" s="1"/>
  <c r="AZ14" i="20" s="1"/>
  <c r="BA14" i="20" s="1"/>
  <c r="BB14" i="20" s="1"/>
  <c r="BC14" i="20" s="1"/>
  <c r="BD14" i="20" s="1"/>
  <c r="BE14" i="20" s="1"/>
  <c r="BF14" i="20" s="1"/>
  <c r="BG14" i="20" s="1"/>
  <c r="BH14" i="20" s="1"/>
  <c r="BI14" i="20" s="1"/>
  <c r="BJ14" i="20" s="1"/>
  <c r="BK14" i="20" s="1"/>
  <c r="BL14" i="20" s="1"/>
  <c r="BM14" i="20" s="1"/>
  <c r="BN14" i="20" s="1"/>
  <c r="BO14" i="20" s="1"/>
  <c r="BP14" i="20" s="1"/>
  <c r="BQ14" i="20" s="1"/>
  <c r="BR14" i="20" s="1"/>
  <c r="BS14" i="20" s="1"/>
  <c r="BT14" i="20" s="1"/>
  <c r="BU14" i="20" s="1"/>
  <c r="BV14" i="20" s="1"/>
  <c r="BW14" i="20" s="1"/>
  <c r="BX14" i="20" s="1"/>
  <c r="BY14" i="20" s="1"/>
  <c r="BZ14" i="20" s="1"/>
  <c r="CA14" i="20" s="1"/>
  <c r="CB14" i="20" s="1"/>
  <c r="CC14" i="20" s="1"/>
  <c r="CD14" i="20" s="1"/>
  <c r="CE14" i="20" s="1"/>
  <c r="CF14" i="20" s="1"/>
  <c r="CG14" i="20" s="1"/>
  <c r="CH14" i="20" s="1"/>
  <c r="CI14" i="20" s="1"/>
  <c r="CJ14" i="20" s="1"/>
  <c r="CK14" i="20" s="1"/>
  <c r="CL14" i="20" s="1"/>
  <c r="CM14" i="20" s="1"/>
  <c r="CN14" i="20" s="1"/>
  <c r="CO14" i="20" s="1"/>
  <c r="CP14" i="20" s="1"/>
  <c r="CQ14" i="20" s="1"/>
  <c r="CR14" i="20" s="1"/>
  <c r="CS14" i="20" s="1"/>
  <c r="CT14" i="20" s="1"/>
  <c r="CU14" i="20" s="1"/>
  <c r="CV14" i="20" s="1"/>
  <c r="CW14" i="20" s="1"/>
  <c r="D14" i="19"/>
  <c r="E14" i="19" s="1"/>
  <c r="F14" i="19" s="1"/>
  <c r="G14" i="19" s="1"/>
  <c r="H14" i="19" s="1"/>
  <c r="I14" i="19" s="1"/>
  <c r="J14" i="19" s="1"/>
  <c r="K14" i="19" s="1"/>
  <c r="L14" i="19" s="1"/>
  <c r="M14" i="19" s="1"/>
  <c r="N14" i="19" s="1"/>
  <c r="O14" i="19" s="1"/>
  <c r="P14" i="19" s="1"/>
  <c r="Q14" i="19" s="1"/>
  <c r="R14" i="19" s="1"/>
  <c r="S14" i="19" s="1"/>
  <c r="T14" i="19" s="1"/>
  <c r="U14" i="19" s="1"/>
  <c r="V14" i="19" s="1"/>
  <c r="W14" i="19" s="1"/>
  <c r="X14" i="19" s="1"/>
  <c r="Y14" i="19" s="1"/>
  <c r="Z14" i="19" s="1"/>
  <c r="AA14" i="19" s="1"/>
  <c r="AB14" i="19" s="1"/>
  <c r="AC14" i="19" s="1"/>
  <c r="AD14" i="19" s="1"/>
  <c r="AE14" i="19" s="1"/>
  <c r="AF14" i="19" s="1"/>
  <c r="AG14" i="19" s="1"/>
  <c r="AH14" i="19" s="1"/>
  <c r="AI14" i="19" s="1"/>
  <c r="AJ14" i="19" s="1"/>
  <c r="AK14" i="19" s="1"/>
  <c r="AL14" i="19" s="1"/>
  <c r="AM14" i="19" s="1"/>
  <c r="AN14" i="19" s="1"/>
  <c r="AO14" i="19" s="1"/>
  <c r="AP14" i="19" s="1"/>
  <c r="AQ14" i="19" s="1"/>
  <c r="AR14" i="19" s="1"/>
  <c r="AS14" i="19" s="1"/>
  <c r="AT14" i="19" s="1"/>
  <c r="AU14" i="19" s="1"/>
  <c r="AV14" i="19" s="1"/>
  <c r="AW14" i="19" s="1"/>
  <c r="AX14" i="19" s="1"/>
  <c r="AY14" i="19" s="1"/>
  <c r="AZ14" i="19" s="1"/>
  <c r="BA14" i="19" s="1"/>
  <c r="BB14" i="19" s="1"/>
  <c r="BC14" i="19" s="1"/>
  <c r="BD14" i="19" s="1"/>
  <c r="BE14" i="19" s="1"/>
  <c r="BF14" i="19" s="1"/>
  <c r="BG14" i="19" s="1"/>
  <c r="BH14" i="19" s="1"/>
  <c r="BI14" i="19" s="1"/>
  <c r="BJ14" i="19" s="1"/>
  <c r="BK14" i="19" s="1"/>
  <c r="BL14" i="19" s="1"/>
  <c r="BM14" i="19" s="1"/>
  <c r="BN14" i="19" s="1"/>
  <c r="BO14" i="19" s="1"/>
  <c r="BP14" i="19" s="1"/>
  <c r="BQ14" i="19" s="1"/>
  <c r="BR14" i="19" s="1"/>
  <c r="BS14" i="19" s="1"/>
  <c r="BT14" i="19" s="1"/>
  <c r="BU14" i="19" s="1"/>
  <c r="BV14" i="19" s="1"/>
  <c r="BW14" i="19" s="1"/>
  <c r="BX14" i="19" s="1"/>
  <c r="BY14" i="19" s="1"/>
  <c r="BZ14" i="19" s="1"/>
  <c r="CA14" i="19" s="1"/>
  <c r="CB14" i="19" s="1"/>
  <c r="CC14" i="19" s="1"/>
  <c r="CD14" i="19" s="1"/>
  <c r="CE14" i="19" s="1"/>
  <c r="CF14" i="19" s="1"/>
  <c r="CG14" i="19" s="1"/>
  <c r="CH14" i="19" s="1"/>
  <c r="CI14" i="19" s="1"/>
  <c r="CJ14" i="19" s="1"/>
  <c r="CK14" i="19" s="1"/>
  <c r="CL14" i="19" s="1"/>
  <c r="CM14" i="19" s="1"/>
  <c r="CN14" i="19" s="1"/>
  <c r="CO14" i="19" s="1"/>
  <c r="CP14" i="19" s="1"/>
  <c r="CQ14" i="19" s="1"/>
  <c r="CR14" i="19" s="1"/>
  <c r="CS14" i="19" s="1"/>
  <c r="CT14" i="19" s="1"/>
  <c r="CU14" i="19" s="1"/>
  <c r="CV14" i="19" s="1"/>
  <c r="CW14" i="19" s="1"/>
  <c r="D14" i="18"/>
  <c r="E14" i="18" s="1"/>
  <c r="F14" i="18" s="1"/>
  <c r="G14" i="18" s="1"/>
  <c r="H14" i="18" s="1"/>
  <c r="I14" i="18" s="1"/>
  <c r="J14" i="18" s="1"/>
  <c r="K14" i="18" s="1"/>
  <c r="L14" i="18" s="1"/>
  <c r="M14" i="18" s="1"/>
  <c r="N14" i="18" s="1"/>
  <c r="O14" i="18" s="1"/>
  <c r="P14" i="18" s="1"/>
  <c r="Q14" i="18" s="1"/>
  <c r="R14" i="18" s="1"/>
  <c r="S14" i="18" s="1"/>
  <c r="T14" i="18" s="1"/>
  <c r="U14" i="18" s="1"/>
  <c r="V14" i="18" s="1"/>
  <c r="W14" i="18" s="1"/>
  <c r="X14" i="18" s="1"/>
  <c r="Y14" i="18" s="1"/>
  <c r="Z14" i="18" s="1"/>
  <c r="AA14" i="18" s="1"/>
  <c r="AB14" i="18" s="1"/>
  <c r="AC14" i="18" s="1"/>
  <c r="AD14" i="18" s="1"/>
  <c r="AE14" i="18" s="1"/>
  <c r="AF14" i="18" s="1"/>
  <c r="AG14" i="18" s="1"/>
  <c r="AH14" i="18" s="1"/>
  <c r="AI14" i="18" s="1"/>
  <c r="AJ14" i="18" s="1"/>
  <c r="AK14" i="18" s="1"/>
  <c r="AL14" i="18" s="1"/>
  <c r="AM14" i="18" s="1"/>
  <c r="AN14" i="18" s="1"/>
  <c r="AO14" i="18" s="1"/>
  <c r="AP14" i="18" s="1"/>
  <c r="AQ14" i="18" s="1"/>
  <c r="AR14" i="18" s="1"/>
  <c r="AS14" i="18" s="1"/>
  <c r="AT14" i="18" s="1"/>
  <c r="AU14" i="18" s="1"/>
  <c r="AV14" i="18" s="1"/>
  <c r="AW14" i="18" s="1"/>
  <c r="AX14" i="18" s="1"/>
  <c r="AY14" i="18" s="1"/>
  <c r="AZ14" i="18" s="1"/>
  <c r="BA14" i="18" s="1"/>
  <c r="BB14" i="18" s="1"/>
  <c r="BC14" i="18" s="1"/>
  <c r="BD14" i="18" s="1"/>
  <c r="BE14" i="18" s="1"/>
  <c r="BF14" i="18" s="1"/>
  <c r="BG14" i="18" s="1"/>
  <c r="BH14" i="18" s="1"/>
  <c r="BI14" i="18" s="1"/>
  <c r="BJ14" i="18" s="1"/>
  <c r="BK14" i="18" s="1"/>
  <c r="BL14" i="18" s="1"/>
  <c r="BM14" i="18" s="1"/>
  <c r="BN14" i="18" s="1"/>
  <c r="BO14" i="18" s="1"/>
  <c r="BP14" i="18" s="1"/>
  <c r="BQ14" i="18" s="1"/>
  <c r="BR14" i="18" s="1"/>
  <c r="BS14" i="18" s="1"/>
  <c r="BT14" i="18" s="1"/>
  <c r="BU14" i="18" s="1"/>
  <c r="BV14" i="18" s="1"/>
  <c r="BW14" i="18" s="1"/>
  <c r="BX14" i="18" s="1"/>
  <c r="BY14" i="18" s="1"/>
  <c r="BZ14" i="18" s="1"/>
  <c r="CA14" i="18" s="1"/>
  <c r="CB14" i="18" s="1"/>
  <c r="CC14" i="18" s="1"/>
  <c r="CD14" i="18" s="1"/>
  <c r="CE14" i="18" s="1"/>
  <c r="CF14" i="18" s="1"/>
  <c r="CG14" i="18" s="1"/>
  <c r="CH14" i="18" s="1"/>
  <c r="CI14" i="18" s="1"/>
  <c r="CJ14" i="18" s="1"/>
  <c r="CK14" i="18" s="1"/>
  <c r="CL14" i="18" s="1"/>
  <c r="CM14" i="18" s="1"/>
  <c r="CN14" i="18" s="1"/>
  <c r="CO14" i="18" s="1"/>
  <c r="CP14" i="18" s="1"/>
  <c r="CQ14" i="18" s="1"/>
  <c r="CR14" i="18" s="1"/>
  <c r="CS14" i="18" s="1"/>
  <c r="CT14" i="18" s="1"/>
  <c r="CU14" i="18" s="1"/>
  <c r="CV14" i="18" s="1"/>
  <c r="CW14" i="18" s="1"/>
  <c r="BA1" i="17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AZ1" i="17"/>
  <c r="BA3" i="17"/>
  <c r="BB3" i="17" s="1"/>
  <c r="BC3" i="17" s="1"/>
  <c r="BD3" i="17" s="1"/>
  <c r="BE3" i="17" s="1"/>
  <c r="BF3" i="17" s="1"/>
  <c r="BG3" i="17" s="1"/>
  <c r="BH3" i="17" s="1"/>
  <c r="BI3" i="17" s="1"/>
  <c r="BJ3" i="17" s="1"/>
  <c r="BK3" i="17" s="1"/>
  <c r="BL3" i="17" s="1"/>
  <c r="BM3" i="17" s="1"/>
  <c r="BN3" i="17" s="1"/>
  <c r="BO3" i="17" s="1"/>
  <c r="BP3" i="17" s="1"/>
  <c r="BQ3" i="17" s="1"/>
  <c r="BR3" i="17" s="1"/>
  <c r="BS3" i="17" s="1"/>
  <c r="BT3" i="17" s="1"/>
  <c r="AZ3" i="17"/>
  <c r="BA5" i="17"/>
  <c r="BB5" i="17" s="1"/>
  <c r="BC5" i="17" s="1"/>
  <c r="BD5" i="17" s="1"/>
  <c r="BE5" i="17" s="1"/>
  <c r="BF5" i="17" s="1"/>
  <c r="BG5" i="17" s="1"/>
  <c r="BH5" i="17" s="1"/>
  <c r="BI5" i="17" s="1"/>
  <c r="BJ5" i="17" s="1"/>
  <c r="BK5" i="17" s="1"/>
  <c r="BL5" i="17" s="1"/>
  <c r="BM5" i="17" s="1"/>
  <c r="BN5" i="17" s="1"/>
  <c r="BO5" i="17" s="1"/>
  <c r="BP5" i="17" s="1"/>
  <c r="BQ5" i="17" s="1"/>
  <c r="BR5" i="17" s="1"/>
  <c r="BS5" i="17" s="1"/>
  <c r="BT5" i="17" s="1"/>
  <c r="AZ5" i="17"/>
  <c r="BA7" i="17"/>
  <c r="BB7" i="17" s="1"/>
  <c r="BC7" i="17" s="1"/>
  <c r="BD7" i="17" s="1"/>
  <c r="BE7" i="17" s="1"/>
  <c r="BF7" i="17" s="1"/>
  <c r="BG7" i="17" s="1"/>
  <c r="BH7" i="17" s="1"/>
  <c r="BI7" i="17" s="1"/>
  <c r="BJ7" i="17" s="1"/>
  <c r="BK7" i="17" s="1"/>
  <c r="BL7" i="17" s="1"/>
  <c r="BM7" i="17" s="1"/>
  <c r="BN7" i="17" s="1"/>
  <c r="BO7" i="17" s="1"/>
  <c r="BP7" i="17" s="1"/>
  <c r="BQ7" i="17" s="1"/>
  <c r="BR7" i="17" s="1"/>
  <c r="BS7" i="17" s="1"/>
  <c r="BT7" i="17" s="1"/>
  <c r="AZ7" i="17"/>
  <c r="AZ9" i="17"/>
  <c r="BA9" i="17" s="1"/>
  <c r="BB9" i="17" s="1"/>
  <c r="BC9" i="17" s="1"/>
  <c r="BD9" i="17" s="1"/>
  <c r="BE9" i="17" s="1"/>
  <c r="BF9" i="17" s="1"/>
  <c r="BG9" i="17" s="1"/>
  <c r="BH9" i="17" s="1"/>
  <c r="BI9" i="17" s="1"/>
  <c r="BJ9" i="17" s="1"/>
  <c r="BK9" i="17" s="1"/>
  <c r="BL9" i="17" s="1"/>
  <c r="BM9" i="17" s="1"/>
  <c r="BN9" i="17" s="1"/>
  <c r="BO9" i="17" s="1"/>
  <c r="BP9" i="17" s="1"/>
  <c r="BQ9" i="17" s="1"/>
  <c r="BR9" i="17" s="1"/>
  <c r="BS9" i="17" s="1"/>
  <c r="BT9" i="17" s="1"/>
  <c r="AY9" i="17"/>
  <c r="AY7" i="17"/>
  <c r="AY5" i="17"/>
  <c r="AY3" i="17"/>
  <c r="AY1" i="17"/>
  <c r="BU8" i="17"/>
  <c r="BV8" i="17" s="1"/>
  <c r="BW8" i="17" s="1"/>
  <c r="BX8" i="17" s="1"/>
  <c r="BY8" i="17" s="1"/>
  <c r="BZ8" i="17" s="1"/>
  <c r="CA8" i="17" s="1"/>
  <c r="CB8" i="17" s="1"/>
  <c r="CC8" i="17" s="1"/>
  <c r="CD8" i="17" s="1"/>
  <c r="CE8" i="17" s="1"/>
  <c r="CF8" i="17" s="1"/>
  <c r="CG8" i="17" s="1"/>
  <c r="CH8" i="17" s="1"/>
  <c r="CI8" i="17" s="1"/>
  <c r="CJ8" i="17" s="1"/>
  <c r="CK8" i="17" s="1"/>
  <c r="CL8" i="17" s="1"/>
  <c r="CM8" i="17" s="1"/>
  <c r="CN8" i="17" s="1"/>
  <c r="CO8" i="17" s="1"/>
  <c r="CP8" i="17" s="1"/>
  <c r="CQ8" i="17" s="1"/>
  <c r="CR8" i="17" s="1"/>
  <c r="CS8" i="17" s="1"/>
  <c r="CT8" i="17" s="1"/>
  <c r="CU8" i="17" s="1"/>
  <c r="BU6" i="17"/>
  <c r="BV6" i="17" s="1"/>
  <c r="BW6" i="17" s="1"/>
  <c r="BX6" i="17" s="1"/>
  <c r="BY6" i="17" s="1"/>
  <c r="BZ6" i="17" s="1"/>
  <c r="CA6" i="17" s="1"/>
  <c r="CB6" i="17" s="1"/>
  <c r="CC6" i="17" s="1"/>
  <c r="CD6" i="17" s="1"/>
  <c r="CE6" i="17" s="1"/>
  <c r="CF6" i="17" s="1"/>
  <c r="CG6" i="17" s="1"/>
  <c r="CH6" i="17" s="1"/>
  <c r="CI6" i="17" s="1"/>
  <c r="CJ6" i="17" s="1"/>
  <c r="CK6" i="17" s="1"/>
  <c r="CL6" i="17" s="1"/>
  <c r="CM6" i="17" s="1"/>
  <c r="CN6" i="17" s="1"/>
  <c r="CO6" i="17" s="1"/>
  <c r="CP6" i="17" s="1"/>
  <c r="CQ6" i="17" s="1"/>
  <c r="CR6" i="17" s="1"/>
  <c r="CS6" i="17" s="1"/>
  <c r="CT6" i="17" s="1"/>
  <c r="CU6" i="17" s="1"/>
  <c r="BU4" i="17"/>
  <c r="BV4" i="17" s="1"/>
  <c r="BW4" i="17" s="1"/>
  <c r="BX4" i="17" s="1"/>
  <c r="BY4" i="17" s="1"/>
  <c r="BZ4" i="17" s="1"/>
  <c r="CA4" i="17" s="1"/>
  <c r="CB4" i="17" s="1"/>
  <c r="CC4" i="17" s="1"/>
  <c r="CD4" i="17" s="1"/>
  <c r="CE4" i="17" s="1"/>
  <c r="CF4" i="17" s="1"/>
  <c r="CG4" i="17" s="1"/>
  <c r="CH4" i="17" s="1"/>
  <c r="CI4" i="17" s="1"/>
  <c r="CJ4" i="17" s="1"/>
  <c r="CK4" i="17" s="1"/>
  <c r="CL4" i="17" s="1"/>
  <c r="CM4" i="17" s="1"/>
  <c r="CN4" i="17" s="1"/>
  <c r="CO4" i="17" s="1"/>
  <c r="CP4" i="17" s="1"/>
  <c r="CQ4" i="17" s="1"/>
  <c r="CR4" i="17" s="1"/>
  <c r="CS4" i="17" s="1"/>
  <c r="CT4" i="17" s="1"/>
  <c r="CU4" i="17" s="1"/>
  <c r="BX2" i="17"/>
  <c r="BY2" i="17" s="1"/>
  <c r="BZ2" i="17" s="1"/>
  <c r="CA2" i="17" s="1"/>
  <c r="CB2" i="17" s="1"/>
  <c r="CC2" i="17" s="1"/>
  <c r="CD2" i="17" s="1"/>
  <c r="CE2" i="17" s="1"/>
  <c r="CF2" i="17" s="1"/>
  <c r="CG2" i="17" s="1"/>
  <c r="CH2" i="17" s="1"/>
  <c r="CI2" i="17" s="1"/>
  <c r="CJ2" i="17" s="1"/>
  <c r="CK2" i="17" s="1"/>
  <c r="CL2" i="17" s="1"/>
  <c r="CM2" i="17" s="1"/>
  <c r="CN2" i="17" s="1"/>
  <c r="CO2" i="17" s="1"/>
  <c r="CP2" i="17" s="1"/>
  <c r="CQ2" i="17" s="1"/>
  <c r="CR2" i="17" s="1"/>
  <c r="CS2" i="17" s="1"/>
  <c r="CT2" i="17" s="1"/>
  <c r="CU2" i="17" s="1"/>
  <c r="BW2" i="17"/>
  <c r="BV2" i="17"/>
  <c r="BU2" i="17"/>
  <c r="D14" i="17"/>
  <c r="E14" i="17" s="1"/>
  <c r="F14" i="17" s="1"/>
  <c r="G14" i="17" s="1"/>
  <c r="H14" i="17" s="1"/>
  <c r="I14" i="17" s="1"/>
  <c r="J14" i="17" s="1"/>
  <c r="K14" i="17" s="1"/>
  <c r="L14" i="17" s="1"/>
  <c r="M14" i="17" s="1"/>
  <c r="N14" i="17" s="1"/>
  <c r="O14" i="17" s="1"/>
  <c r="P14" i="17" s="1"/>
  <c r="Q14" i="17" s="1"/>
  <c r="R14" i="17" s="1"/>
  <c r="S14" i="17" s="1"/>
  <c r="T14" i="17" s="1"/>
  <c r="U14" i="17" s="1"/>
  <c r="V14" i="17" s="1"/>
  <c r="W14" i="17" s="1"/>
  <c r="X14" i="17" s="1"/>
  <c r="Y14" i="17" s="1"/>
  <c r="Z14" i="17" s="1"/>
  <c r="AA14" i="17" s="1"/>
  <c r="AB14" i="17" s="1"/>
  <c r="AC14" i="17" s="1"/>
  <c r="AD14" i="17" s="1"/>
  <c r="AE14" i="17" s="1"/>
  <c r="AF14" i="17" s="1"/>
  <c r="AG14" i="17" s="1"/>
  <c r="AH14" i="17" s="1"/>
  <c r="AI14" i="17" s="1"/>
  <c r="AJ14" i="17" s="1"/>
  <c r="AK14" i="17" s="1"/>
  <c r="AL14" i="17" s="1"/>
  <c r="AM14" i="17" s="1"/>
  <c r="AN14" i="17" s="1"/>
  <c r="AO14" i="17" s="1"/>
  <c r="AP14" i="17" s="1"/>
  <c r="AQ14" i="17" s="1"/>
  <c r="AR14" i="17" s="1"/>
  <c r="AS14" i="17" s="1"/>
  <c r="AT14" i="17" s="1"/>
  <c r="AU14" i="17" s="1"/>
  <c r="AV14" i="17" s="1"/>
  <c r="AW14" i="17" s="1"/>
  <c r="AX14" i="17" s="1"/>
  <c r="AY14" i="17" s="1"/>
  <c r="AZ14" i="17" s="1"/>
  <c r="BA14" i="17" s="1"/>
  <c r="BB14" i="17" s="1"/>
  <c r="BC14" i="17" s="1"/>
  <c r="BD14" i="17" s="1"/>
  <c r="BE14" i="17" s="1"/>
  <c r="BF14" i="17" s="1"/>
  <c r="BG14" i="17" s="1"/>
  <c r="BH14" i="17" s="1"/>
  <c r="BI14" i="17" s="1"/>
  <c r="BJ14" i="17" s="1"/>
  <c r="BK14" i="17" s="1"/>
  <c r="BL14" i="17" s="1"/>
  <c r="BM14" i="17" s="1"/>
  <c r="BN14" i="17" s="1"/>
  <c r="BO14" i="17" s="1"/>
  <c r="BP14" i="17" s="1"/>
  <c r="BQ14" i="17" s="1"/>
  <c r="BR14" i="17" s="1"/>
  <c r="BS14" i="17" s="1"/>
  <c r="BT14" i="17" s="1"/>
  <c r="BU14" i="17" s="1"/>
  <c r="BV14" i="17" s="1"/>
  <c r="BW14" i="17" s="1"/>
  <c r="BX14" i="17" s="1"/>
  <c r="BY14" i="17" s="1"/>
  <c r="BZ14" i="17" s="1"/>
  <c r="CA14" i="17" s="1"/>
  <c r="CB14" i="17" s="1"/>
  <c r="CC14" i="17" s="1"/>
  <c r="CD14" i="17" s="1"/>
  <c r="CE14" i="17" s="1"/>
  <c r="CF14" i="17" s="1"/>
  <c r="CG14" i="17" s="1"/>
  <c r="CH14" i="17" s="1"/>
  <c r="CI14" i="17" s="1"/>
  <c r="CJ14" i="17" s="1"/>
  <c r="CK14" i="17" s="1"/>
  <c r="CL14" i="17" s="1"/>
  <c r="CM14" i="17" s="1"/>
  <c r="CN14" i="17" s="1"/>
  <c r="CO14" i="17" s="1"/>
  <c r="CP14" i="17" s="1"/>
  <c r="CQ14" i="17" s="1"/>
  <c r="CR14" i="17" s="1"/>
  <c r="CS14" i="17" s="1"/>
  <c r="CT14" i="17" s="1"/>
  <c r="CU14" i="17" s="1"/>
  <c r="CV14" i="17" s="1"/>
  <c r="C14" i="17"/>
  <c r="C29" i="4"/>
  <c r="D29" i="4" s="1"/>
  <c r="E29" i="4" s="1"/>
  <c r="F29" i="4" s="1"/>
  <c r="G29" i="4" s="1"/>
  <c r="H29" i="4" s="1"/>
  <c r="I29" i="4" s="1"/>
  <c r="J29" i="4" s="1"/>
  <c r="K29" i="4" s="1"/>
  <c r="L29" i="4" s="1"/>
  <c r="M29" i="4" s="1"/>
  <c r="N29" i="4" s="1"/>
  <c r="O29" i="4" s="1"/>
  <c r="P29" i="4" s="1"/>
  <c r="Q29" i="4" s="1"/>
  <c r="R29" i="4" s="1"/>
  <c r="S29" i="4" s="1"/>
  <c r="T29" i="4" s="1"/>
  <c r="U29" i="4" s="1"/>
  <c r="V29" i="4" s="1"/>
  <c r="W29" i="4" s="1"/>
  <c r="X29" i="4" s="1"/>
  <c r="Y29" i="4" s="1"/>
  <c r="Z29" i="4" s="1"/>
  <c r="AA29" i="4" s="1"/>
  <c r="AB29" i="4" s="1"/>
  <c r="AC29" i="4" s="1"/>
  <c r="AD29" i="4" s="1"/>
  <c r="AE29" i="4" s="1"/>
  <c r="AF29" i="4" s="1"/>
  <c r="AG29" i="4" s="1"/>
  <c r="AH29" i="4" s="1"/>
  <c r="AI29" i="4" s="1"/>
  <c r="AJ29" i="4" s="1"/>
  <c r="AK29" i="4" s="1"/>
  <c r="AL29" i="4" s="1"/>
  <c r="AM29" i="4" s="1"/>
  <c r="AN29" i="4" s="1"/>
  <c r="AO29" i="4" s="1"/>
  <c r="AP29" i="4" s="1"/>
  <c r="AQ29" i="4" s="1"/>
  <c r="AR29" i="4" s="1"/>
  <c r="AS29" i="4" s="1"/>
  <c r="AT29" i="4" s="1"/>
  <c r="AU29" i="4" s="1"/>
  <c r="AV29" i="4" s="1"/>
  <c r="AW29" i="4" s="1"/>
  <c r="AX29" i="4" s="1"/>
  <c r="AY29" i="4" s="1"/>
  <c r="AZ29" i="4" s="1"/>
  <c r="BA29" i="4" s="1"/>
  <c r="BB29" i="4" s="1"/>
  <c r="BC29" i="4" s="1"/>
  <c r="BD29" i="4" s="1"/>
  <c r="BE29" i="4" s="1"/>
  <c r="BF29" i="4" s="1"/>
  <c r="BG29" i="4" s="1"/>
  <c r="BH29" i="4" s="1"/>
  <c r="BI29" i="4" s="1"/>
  <c r="BJ29" i="4" s="1"/>
  <c r="BK29" i="4" s="1"/>
  <c r="BL29" i="4" s="1"/>
  <c r="BM29" i="4" s="1"/>
  <c r="BN29" i="4" s="1"/>
  <c r="BO29" i="4" s="1"/>
  <c r="BP29" i="4" s="1"/>
  <c r="BQ29" i="4" s="1"/>
  <c r="BR29" i="4" s="1"/>
  <c r="BS29" i="4" s="1"/>
  <c r="BT29" i="4" s="1"/>
  <c r="BU29" i="4" s="1"/>
  <c r="BV29" i="4" s="1"/>
  <c r="BW29" i="4" s="1"/>
  <c r="BX29" i="4" s="1"/>
  <c r="BY29" i="4" s="1"/>
  <c r="BZ29" i="4" s="1"/>
  <c r="CA29" i="4" s="1"/>
  <c r="CB29" i="4" s="1"/>
  <c r="CC29" i="4" s="1"/>
  <c r="CD29" i="4" s="1"/>
  <c r="CE29" i="4" s="1"/>
  <c r="CF29" i="4" s="1"/>
  <c r="CG29" i="4" s="1"/>
  <c r="CH29" i="4" s="1"/>
  <c r="CI29" i="4" s="1"/>
  <c r="CJ29" i="4" s="1"/>
  <c r="CK29" i="4" s="1"/>
  <c r="CL29" i="4" s="1"/>
  <c r="CM29" i="4" s="1"/>
  <c r="CN29" i="4" s="1"/>
  <c r="CO29" i="4" s="1"/>
  <c r="CP29" i="4" s="1"/>
  <c r="CQ29" i="4" s="1"/>
  <c r="CR29" i="4" s="1"/>
  <c r="CS29" i="4" s="1"/>
  <c r="CT29" i="4" s="1"/>
  <c r="CU29" i="4" s="1"/>
  <c r="CV29" i="4" s="1"/>
  <c r="D14" i="16"/>
  <c r="E14" i="16" s="1"/>
  <c r="F14" i="16" s="1"/>
  <c r="G14" i="16" s="1"/>
  <c r="H14" i="16" s="1"/>
  <c r="I14" i="16" s="1"/>
  <c r="J14" i="16" s="1"/>
  <c r="K14" i="16" s="1"/>
  <c r="L14" i="16" s="1"/>
  <c r="M14" i="16" s="1"/>
  <c r="N14" i="16" s="1"/>
  <c r="O14" i="16" s="1"/>
  <c r="P14" i="16" s="1"/>
  <c r="Q14" i="16" s="1"/>
  <c r="R14" i="16" s="1"/>
  <c r="S14" i="16" s="1"/>
  <c r="T14" i="16" s="1"/>
  <c r="U14" i="16" s="1"/>
  <c r="V14" i="16" s="1"/>
  <c r="W14" i="16" s="1"/>
  <c r="X14" i="16" s="1"/>
  <c r="Y14" i="16" s="1"/>
  <c r="Z14" i="16" s="1"/>
  <c r="AA14" i="16" s="1"/>
  <c r="AB14" i="16" s="1"/>
  <c r="AC14" i="16" s="1"/>
  <c r="AD14" i="16" s="1"/>
  <c r="AE14" i="16" s="1"/>
  <c r="AF14" i="16" s="1"/>
  <c r="AG14" i="16" s="1"/>
  <c r="AH14" i="16" s="1"/>
  <c r="AI14" i="16" s="1"/>
  <c r="AJ14" i="16" s="1"/>
  <c r="AK14" i="16" s="1"/>
  <c r="AL14" i="16" s="1"/>
  <c r="AM14" i="16" s="1"/>
  <c r="AN14" i="16" s="1"/>
  <c r="AO14" i="16" s="1"/>
  <c r="AP14" i="16" s="1"/>
  <c r="AQ14" i="16" s="1"/>
  <c r="AR14" i="16" s="1"/>
  <c r="AS14" i="16" s="1"/>
  <c r="AT14" i="16" s="1"/>
  <c r="AU14" i="16" s="1"/>
  <c r="AV14" i="16" s="1"/>
  <c r="AW14" i="16" s="1"/>
  <c r="AX14" i="16" s="1"/>
  <c r="AY14" i="16" s="1"/>
  <c r="AZ14" i="16" s="1"/>
  <c r="BA14" i="16" s="1"/>
  <c r="BB14" i="16" s="1"/>
  <c r="BC14" i="16" s="1"/>
  <c r="BD14" i="16" s="1"/>
  <c r="BE14" i="16" s="1"/>
  <c r="BF14" i="16" s="1"/>
  <c r="BG14" i="16" s="1"/>
  <c r="BH14" i="16" s="1"/>
  <c r="BI14" i="16" s="1"/>
  <c r="BJ14" i="16" s="1"/>
  <c r="BK14" i="16" s="1"/>
  <c r="BL14" i="16" s="1"/>
  <c r="BM14" i="16" s="1"/>
  <c r="BN14" i="16" s="1"/>
  <c r="BO14" i="16" s="1"/>
  <c r="BP14" i="16" s="1"/>
  <c r="BQ14" i="16" s="1"/>
  <c r="BR14" i="16" s="1"/>
  <c r="BS14" i="16" s="1"/>
  <c r="BT14" i="16" s="1"/>
  <c r="BU14" i="16" s="1"/>
  <c r="BV14" i="16" s="1"/>
  <c r="BW14" i="16" s="1"/>
  <c r="BX14" i="16" s="1"/>
  <c r="BY14" i="16" s="1"/>
  <c r="BZ14" i="16" s="1"/>
  <c r="CA14" i="16" s="1"/>
  <c r="CB14" i="16" s="1"/>
  <c r="CC14" i="16" s="1"/>
  <c r="CD14" i="16" s="1"/>
  <c r="CE14" i="16" s="1"/>
  <c r="CF14" i="16" s="1"/>
  <c r="CG14" i="16" s="1"/>
  <c r="CH14" i="16" s="1"/>
  <c r="CI14" i="16" s="1"/>
  <c r="CJ14" i="16" s="1"/>
  <c r="CK14" i="16" s="1"/>
  <c r="CL14" i="16" s="1"/>
  <c r="CM14" i="16" s="1"/>
  <c r="CN14" i="16" s="1"/>
  <c r="CO14" i="16" s="1"/>
  <c r="CP14" i="16" s="1"/>
  <c r="CQ14" i="16" s="1"/>
  <c r="CR14" i="16" s="1"/>
  <c r="CS14" i="16" s="1"/>
  <c r="CT14" i="16" s="1"/>
  <c r="CU14" i="16" s="1"/>
  <c r="CV14" i="16" s="1"/>
  <c r="CW14" i="16" s="1"/>
  <c r="CU10" i="15" l="1"/>
  <c r="CT10" i="15"/>
  <c r="CS10" i="15"/>
  <c r="CR10" i="15"/>
  <c r="CQ10" i="15"/>
  <c r="CP10" i="15"/>
  <c r="CO10" i="15"/>
  <c r="CN10" i="15"/>
  <c r="CM10" i="15"/>
  <c r="CL10" i="15"/>
  <c r="CK10" i="15"/>
  <c r="CJ10" i="15"/>
  <c r="CI10" i="15"/>
  <c r="CH10" i="15"/>
  <c r="CG10" i="15"/>
  <c r="CF10" i="15"/>
  <c r="CE10" i="15"/>
  <c r="CD10" i="15"/>
  <c r="CC10" i="15"/>
  <c r="CB10" i="15"/>
  <c r="CA10" i="15"/>
  <c r="BZ10" i="15"/>
  <c r="BY10" i="15"/>
  <c r="BX10" i="15"/>
  <c r="BW10" i="15"/>
  <c r="BV10" i="15"/>
  <c r="BU10" i="15"/>
  <c r="BT10" i="15"/>
  <c r="BS10" i="15"/>
  <c r="BR10" i="15"/>
  <c r="BQ10" i="15"/>
  <c r="BP10" i="15"/>
  <c r="BO10" i="15"/>
  <c r="BO11" i="15" s="1"/>
  <c r="BN10" i="15"/>
  <c r="BN11" i="15" s="1"/>
  <c r="BM10" i="15"/>
  <c r="BM11" i="15" s="1"/>
  <c r="BL10" i="15"/>
  <c r="BL11" i="15" s="1"/>
  <c r="BK10" i="15"/>
  <c r="BJ10" i="15"/>
  <c r="BI10" i="15"/>
  <c r="BI11" i="15" s="1"/>
  <c r="BH10" i="15"/>
  <c r="BG10" i="15"/>
  <c r="BF10" i="15"/>
  <c r="BE10" i="15"/>
  <c r="BD10" i="15"/>
  <c r="BE11" i="15"/>
  <c r="BP11" i="15"/>
  <c r="BK11" i="15"/>
  <c r="BJ11" i="15"/>
  <c r="BH11" i="15"/>
  <c r="BG11" i="15"/>
  <c r="BF11" i="15"/>
  <c r="BC11" i="15"/>
  <c r="BB11" i="15"/>
  <c r="BA11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BU26" i="15"/>
  <c r="BV26" i="15" s="1"/>
  <c r="BW26" i="15" s="1"/>
  <c r="BX26" i="15" s="1"/>
  <c r="BY26" i="15" s="1"/>
  <c r="BZ26" i="15" s="1"/>
  <c r="CA26" i="15" s="1"/>
  <c r="CB26" i="15" s="1"/>
  <c r="CC26" i="15" s="1"/>
  <c r="CD26" i="15" s="1"/>
  <c r="CE26" i="15" s="1"/>
  <c r="CF26" i="15" s="1"/>
  <c r="CG26" i="15" s="1"/>
  <c r="CH26" i="15" s="1"/>
  <c r="CI26" i="15" s="1"/>
  <c r="CJ26" i="15" s="1"/>
  <c r="CK26" i="15" s="1"/>
  <c r="CL26" i="15" s="1"/>
  <c r="CM26" i="15" s="1"/>
  <c r="CN26" i="15" s="1"/>
  <c r="CO26" i="15" s="1"/>
  <c r="CP26" i="15" s="1"/>
  <c r="CQ26" i="15" s="1"/>
  <c r="CR26" i="15" s="1"/>
  <c r="CS26" i="15" s="1"/>
  <c r="CT26" i="15" s="1"/>
  <c r="CU26" i="15" s="1"/>
  <c r="BU20" i="15"/>
  <c r="BV20" i="15" s="1"/>
  <c r="BW20" i="15" s="1"/>
  <c r="BX20" i="15" s="1"/>
  <c r="BY20" i="15" s="1"/>
  <c r="BZ20" i="15" s="1"/>
  <c r="CA20" i="15" s="1"/>
  <c r="CB20" i="15" s="1"/>
  <c r="CC20" i="15" s="1"/>
  <c r="CD20" i="15" s="1"/>
  <c r="CE20" i="15" s="1"/>
  <c r="CF20" i="15" s="1"/>
  <c r="CG20" i="15" s="1"/>
  <c r="CH20" i="15" s="1"/>
  <c r="CI20" i="15" s="1"/>
  <c r="CJ20" i="15" s="1"/>
  <c r="CK20" i="15" s="1"/>
  <c r="CL20" i="15" s="1"/>
  <c r="CM20" i="15" s="1"/>
  <c r="CN20" i="15" s="1"/>
  <c r="CO20" i="15" s="1"/>
  <c r="CP20" i="15" s="1"/>
  <c r="CQ20" i="15" s="1"/>
  <c r="CR20" i="15" s="1"/>
  <c r="CS20" i="15" s="1"/>
  <c r="CT20" i="15" s="1"/>
  <c r="CU20" i="15" s="1"/>
  <c r="BU4" i="15"/>
  <c r="BV4" i="15" s="1"/>
  <c r="BW4" i="15" s="1"/>
  <c r="BX4" i="15" s="1"/>
  <c r="BY4" i="15" s="1"/>
  <c r="BZ4" i="15" s="1"/>
  <c r="CA4" i="15" s="1"/>
  <c r="CB4" i="15" s="1"/>
  <c r="CC4" i="15" s="1"/>
  <c r="CD4" i="15" s="1"/>
  <c r="CE4" i="15" s="1"/>
  <c r="CF4" i="15" s="1"/>
  <c r="CG4" i="15" s="1"/>
  <c r="CH4" i="15" s="1"/>
  <c r="CI4" i="15" s="1"/>
  <c r="CJ4" i="15" s="1"/>
  <c r="CK4" i="15" s="1"/>
  <c r="CL4" i="15" s="1"/>
  <c r="CM4" i="15" s="1"/>
  <c r="CN4" i="15" s="1"/>
  <c r="CO4" i="15" s="1"/>
  <c r="CP4" i="15" s="1"/>
  <c r="CQ4" i="15" s="1"/>
  <c r="CR4" i="15" s="1"/>
  <c r="CS4" i="15" s="1"/>
  <c r="CT4" i="15" s="1"/>
  <c r="CU4" i="15" s="1"/>
  <c r="BU2" i="15"/>
  <c r="BV2" i="15" s="1"/>
  <c r="BW2" i="15" s="1"/>
  <c r="BX2" i="15" s="1"/>
  <c r="BY2" i="15" s="1"/>
  <c r="BZ2" i="15" s="1"/>
  <c r="CA2" i="15" s="1"/>
  <c r="CB2" i="15" s="1"/>
  <c r="CC2" i="15" s="1"/>
  <c r="CD2" i="15" s="1"/>
  <c r="CE2" i="15" s="1"/>
  <c r="CF2" i="15" s="1"/>
  <c r="CG2" i="15" s="1"/>
  <c r="CH2" i="15" s="1"/>
  <c r="CI2" i="15" s="1"/>
  <c r="CJ2" i="15" s="1"/>
  <c r="CK2" i="15" s="1"/>
  <c r="CL2" i="15" s="1"/>
  <c r="CM2" i="15" s="1"/>
  <c r="CN2" i="15" s="1"/>
  <c r="CO2" i="15" s="1"/>
  <c r="CP2" i="15" s="1"/>
  <c r="CQ2" i="15" s="1"/>
  <c r="CR2" i="15" s="1"/>
  <c r="CS2" i="15" s="1"/>
  <c r="CT2" i="15" s="1"/>
  <c r="CU2" i="15" s="1"/>
  <c r="AZ8" i="14" l="1"/>
  <c r="BA8" i="14" s="1"/>
  <c r="BB8" i="14" s="1"/>
  <c r="BC8" i="14" s="1"/>
  <c r="BD8" i="14" s="1"/>
  <c r="BE8" i="14" s="1"/>
  <c r="BF8" i="14" s="1"/>
  <c r="BG8" i="14" s="1"/>
  <c r="BH8" i="14" s="1"/>
  <c r="BI8" i="14" s="1"/>
  <c r="BJ8" i="14" s="1"/>
  <c r="BK8" i="14" s="1"/>
  <c r="BL8" i="14" s="1"/>
  <c r="BM8" i="14" s="1"/>
  <c r="BN8" i="14" s="1"/>
  <c r="BO8" i="14" s="1"/>
  <c r="BP8" i="14" s="1"/>
  <c r="BQ8" i="14" s="1"/>
  <c r="BR8" i="14" s="1"/>
  <c r="BS8" i="14" s="1"/>
  <c r="BT8" i="14" s="1"/>
  <c r="BU8" i="14" s="1"/>
  <c r="BV8" i="14" s="1"/>
  <c r="BW8" i="14" s="1"/>
  <c r="BX8" i="14" s="1"/>
  <c r="BY8" i="14" s="1"/>
  <c r="BZ8" i="14" s="1"/>
  <c r="CA8" i="14" s="1"/>
  <c r="CB8" i="14" s="1"/>
  <c r="CC8" i="14" s="1"/>
  <c r="CD8" i="14" s="1"/>
  <c r="CE8" i="14" s="1"/>
  <c r="CF8" i="14" s="1"/>
  <c r="CG8" i="14" s="1"/>
  <c r="CH8" i="14" s="1"/>
  <c r="CI8" i="14" s="1"/>
  <c r="CJ8" i="14" s="1"/>
  <c r="CK8" i="14" s="1"/>
  <c r="CL8" i="14" s="1"/>
  <c r="CM8" i="14" s="1"/>
  <c r="CN8" i="14" s="1"/>
  <c r="CO8" i="14" s="1"/>
  <c r="CP8" i="14" s="1"/>
  <c r="CQ8" i="14" s="1"/>
  <c r="CR8" i="14" s="1"/>
  <c r="CS8" i="14" s="1"/>
  <c r="CT8" i="14" s="1"/>
  <c r="CU8" i="14" s="1"/>
  <c r="AY8" i="14"/>
  <c r="BA7" i="14"/>
  <c r="BB7" i="14" s="1"/>
  <c r="BC7" i="14" s="1"/>
  <c r="BD7" i="14" s="1"/>
  <c r="BE7" i="14" s="1"/>
  <c r="BF7" i="14" s="1"/>
  <c r="BG7" i="14" s="1"/>
  <c r="BH7" i="14" s="1"/>
  <c r="BI7" i="14" s="1"/>
  <c r="BJ7" i="14" s="1"/>
  <c r="BK7" i="14" s="1"/>
  <c r="BL7" i="14" s="1"/>
  <c r="BM7" i="14" s="1"/>
  <c r="BN7" i="14" s="1"/>
  <c r="BO7" i="14" s="1"/>
  <c r="BP7" i="14" s="1"/>
  <c r="BQ7" i="14" s="1"/>
  <c r="BR7" i="14" s="1"/>
  <c r="BS7" i="14" s="1"/>
  <c r="BT7" i="14" s="1"/>
  <c r="BU7" i="14" s="1"/>
  <c r="BV7" i="14" s="1"/>
  <c r="BW7" i="14" s="1"/>
  <c r="BX7" i="14" s="1"/>
  <c r="BY7" i="14" s="1"/>
  <c r="BZ7" i="14" s="1"/>
  <c r="CA7" i="14" s="1"/>
  <c r="CB7" i="14" s="1"/>
  <c r="CC7" i="14" s="1"/>
  <c r="CD7" i="14" s="1"/>
  <c r="CE7" i="14" s="1"/>
  <c r="CF7" i="14" s="1"/>
  <c r="CG7" i="14" s="1"/>
  <c r="CH7" i="14" s="1"/>
  <c r="CI7" i="14" s="1"/>
  <c r="CJ7" i="14" s="1"/>
  <c r="CK7" i="14" s="1"/>
  <c r="CL7" i="14" s="1"/>
  <c r="CM7" i="14" s="1"/>
  <c r="CN7" i="14" s="1"/>
  <c r="CO7" i="14" s="1"/>
  <c r="CP7" i="14" s="1"/>
  <c r="CQ7" i="14" s="1"/>
  <c r="CR7" i="14" s="1"/>
  <c r="CS7" i="14" s="1"/>
  <c r="CT7" i="14" s="1"/>
  <c r="CU7" i="14" s="1"/>
  <c r="AZ7" i="14"/>
  <c r="AY7" i="14"/>
  <c r="C14" i="14"/>
  <c r="D14" i="14" s="1"/>
  <c r="E14" i="14" s="1"/>
  <c r="F14" i="14" s="1"/>
  <c r="G14" i="14" s="1"/>
  <c r="H14" i="14" s="1"/>
  <c r="I14" i="14" s="1"/>
  <c r="J14" i="14" s="1"/>
  <c r="K14" i="14" s="1"/>
  <c r="L14" i="14" s="1"/>
  <c r="M14" i="14" s="1"/>
  <c r="N14" i="14" s="1"/>
  <c r="O14" i="14" s="1"/>
  <c r="P14" i="14" s="1"/>
  <c r="Q14" i="14" s="1"/>
  <c r="R14" i="14" s="1"/>
  <c r="S14" i="14" s="1"/>
  <c r="T14" i="14" s="1"/>
  <c r="U14" i="14" s="1"/>
  <c r="V14" i="14" s="1"/>
  <c r="W14" i="14" s="1"/>
  <c r="X14" i="14" s="1"/>
  <c r="Y14" i="14" s="1"/>
  <c r="Z14" i="14" s="1"/>
  <c r="AA14" i="14" s="1"/>
  <c r="AB14" i="14" s="1"/>
  <c r="AC14" i="14" s="1"/>
  <c r="AD14" i="14" s="1"/>
  <c r="AE14" i="14" s="1"/>
  <c r="AF14" i="14" s="1"/>
  <c r="AG14" i="14" s="1"/>
  <c r="AH14" i="14" s="1"/>
  <c r="AI14" i="14" s="1"/>
  <c r="AJ14" i="14" s="1"/>
  <c r="AK14" i="14" s="1"/>
  <c r="AL14" i="14" s="1"/>
  <c r="AM14" i="14" s="1"/>
  <c r="AN14" i="14" s="1"/>
  <c r="AO14" i="14" s="1"/>
  <c r="AP14" i="14" s="1"/>
  <c r="AQ14" i="14" s="1"/>
  <c r="AR14" i="14" s="1"/>
  <c r="AS14" i="14" s="1"/>
  <c r="AT14" i="14" s="1"/>
  <c r="AU14" i="14" s="1"/>
  <c r="AV14" i="14" s="1"/>
  <c r="AW14" i="14" s="1"/>
  <c r="AX14" i="14" s="1"/>
  <c r="AY14" i="14" s="1"/>
  <c r="AZ14" i="14" s="1"/>
  <c r="BA14" i="14" s="1"/>
  <c r="BB14" i="14" s="1"/>
  <c r="BC14" i="14" s="1"/>
  <c r="BD14" i="14" s="1"/>
  <c r="BE14" i="14" s="1"/>
  <c r="BF14" i="14" s="1"/>
  <c r="BG14" i="14" s="1"/>
  <c r="BH14" i="14" s="1"/>
  <c r="BI14" i="14" s="1"/>
  <c r="BJ14" i="14" s="1"/>
  <c r="BK14" i="14" s="1"/>
  <c r="BL14" i="14" s="1"/>
  <c r="BM14" i="14" s="1"/>
  <c r="BN14" i="14" s="1"/>
  <c r="BO14" i="14" s="1"/>
  <c r="BP14" i="14" s="1"/>
  <c r="BQ14" i="14" s="1"/>
  <c r="BR14" i="14" s="1"/>
  <c r="BS14" i="14" s="1"/>
  <c r="BT14" i="14" s="1"/>
  <c r="BU14" i="14" s="1"/>
  <c r="BV14" i="14" s="1"/>
  <c r="BW14" i="14" s="1"/>
  <c r="BX14" i="14" s="1"/>
  <c r="BY14" i="14" s="1"/>
  <c r="BZ14" i="14" s="1"/>
  <c r="CA14" i="14" s="1"/>
  <c r="CB14" i="14" s="1"/>
  <c r="CC14" i="14" s="1"/>
  <c r="CD14" i="14" s="1"/>
  <c r="CE14" i="14" s="1"/>
  <c r="CF14" i="14" s="1"/>
  <c r="CG14" i="14" s="1"/>
  <c r="CH14" i="14" s="1"/>
  <c r="CI14" i="14" s="1"/>
  <c r="CJ14" i="14" s="1"/>
  <c r="CK14" i="14" s="1"/>
  <c r="CL14" i="14" s="1"/>
  <c r="CM14" i="14" s="1"/>
  <c r="CN14" i="14" s="1"/>
  <c r="CO14" i="14" s="1"/>
  <c r="CP14" i="14" s="1"/>
  <c r="CQ14" i="14" s="1"/>
  <c r="CR14" i="14" s="1"/>
  <c r="CS14" i="14" s="1"/>
  <c r="CT14" i="14" s="1"/>
  <c r="CU14" i="14" s="1"/>
  <c r="CV14" i="14" s="1"/>
  <c r="BU11" i="12" l="1"/>
  <c r="BV11" i="12" s="1"/>
  <c r="BW11" i="12" s="1"/>
  <c r="BX11" i="12" s="1"/>
  <c r="BY11" i="12" s="1"/>
  <c r="BZ11" i="12" s="1"/>
  <c r="CA11" i="12" s="1"/>
  <c r="CB11" i="12" s="1"/>
  <c r="CC11" i="12" s="1"/>
  <c r="CD11" i="12" s="1"/>
  <c r="CE11" i="12" s="1"/>
  <c r="CF11" i="12" s="1"/>
  <c r="CG11" i="12" s="1"/>
  <c r="CH11" i="12" s="1"/>
  <c r="CI11" i="12" s="1"/>
  <c r="CJ11" i="12" s="1"/>
  <c r="CK11" i="12" s="1"/>
  <c r="CL11" i="12" s="1"/>
  <c r="CM11" i="12" s="1"/>
  <c r="CN11" i="12" s="1"/>
  <c r="CO11" i="12" s="1"/>
  <c r="CP11" i="12" s="1"/>
  <c r="CQ11" i="12" s="1"/>
  <c r="CR11" i="12" s="1"/>
  <c r="CS11" i="12" s="1"/>
  <c r="CT11" i="12" s="1"/>
  <c r="CU11" i="12" s="1"/>
  <c r="BU10" i="12"/>
  <c r="BV10" i="12" s="1"/>
  <c r="BW10" i="12" s="1"/>
  <c r="BX10" i="12" s="1"/>
  <c r="BY10" i="12" s="1"/>
  <c r="BZ10" i="12" s="1"/>
  <c r="CA10" i="12" s="1"/>
  <c r="CB10" i="12" s="1"/>
  <c r="CC10" i="12" s="1"/>
  <c r="CD10" i="12" s="1"/>
  <c r="CE10" i="12" s="1"/>
  <c r="CF10" i="12" s="1"/>
  <c r="CG10" i="12" s="1"/>
  <c r="CH10" i="12" s="1"/>
  <c r="CI10" i="12" s="1"/>
  <c r="CJ10" i="12" s="1"/>
  <c r="CK10" i="12" s="1"/>
  <c r="CL10" i="12" s="1"/>
  <c r="CM10" i="12" s="1"/>
  <c r="CN10" i="12" s="1"/>
  <c r="CO10" i="12" s="1"/>
  <c r="CP10" i="12" s="1"/>
  <c r="CQ10" i="12" s="1"/>
  <c r="CR10" i="12" s="1"/>
  <c r="CS10" i="12" s="1"/>
  <c r="CT10" i="12" s="1"/>
  <c r="CU10" i="12" s="1"/>
  <c r="BU9" i="12"/>
  <c r="BV9" i="12" s="1"/>
  <c r="BW9" i="12" s="1"/>
  <c r="BX9" i="12" s="1"/>
  <c r="BY9" i="12" s="1"/>
  <c r="BZ9" i="12" s="1"/>
  <c r="CA9" i="12" s="1"/>
  <c r="CB9" i="12" s="1"/>
  <c r="CC9" i="12" s="1"/>
  <c r="CD9" i="12" s="1"/>
  <c r="CE9" i="12" s="1"/>
  <c r="CF9" i="12" s="1"/>
  <c r="CG9" i="12" s="1"/>
  <c r="CH9" i="12" s="1"/>
  <c r="CI9" i="12" s="1"/>
  <c r="CJ9" i="12" s="1"/>
  <c r="CK9" i="12" s="1"/>
  <c r="CL9" i="12" s="1"/>
  <c r="CM9" i="12" s="1"/>
  <c r="CN9" i="12" s="1"/>
  <c r="CO9" i="12" s="1"/>
  <c r="CP9" i="12" s="1"/>
  <c r="CQ9" i="12" s="1"/>
  <c r="CR9" i="12" s="1"/>
  <c r="CS9" i="12" s="1"/>
  <c r="CT9" i="12" s="1"/>
  <c r="CU9" i="12" s="1"/>
  <c r="BU5" i="12"/>
  <c r="BV5" i="12" s="1"/>
  <c r="BW5" i="12" s="1"/>
  <c r="BX5" i="12" s="1"/>
  <c r="BY5" i="12" s="1"/>
  <c r="BZ5" i="12" s="1"/>
  <c r="CA5" i="12" s="1"/>
  <c r="CB5" i="12" s="1"/>
  <c r="CC5" i="12" s="1"/>
  <c r="CD5" i="12" s="1"/>
  <c r="CE5" i="12" s="1"/>
  <c r="CF5" i="12" s="1"/>
  <c r="CG5" i="12" s="1"/>
  <c r="CH5" i="12" s="1"/>
  <c r="CI5" i="12" s="1"/>
  <c r="CJ5" i="12" s="1"/>
  <c r="CK5" i="12" s="1"/>
  <c r="CL5" i="12" s="1"/>
  <c r="CM5" i="12" s="1"/>
  <c r="CN5" i="12" s="1"/>
  <c r="CO5" i="12" s="1"/>
  <c r="CP5" i="12" s="1"/>
  <c r="CQ5" i="12" s="1"/>
  <c r="CR5" i="12" s="1"/>
  <c r="CS5" i="12" s="1"/>
  <c r="CT5" i="12" s="1"/>
  <c r="CU5" i="12" s="1"/>
  <c r="BU3" i="12"/>
  <c r="BV3" i="12" s="1"/>
  <c r="BW3" i="12" s="1"/>
  <c r="BX3" i="12" s="1"/>
  <c r="BY3" i="12" s="1"/>
  <c r="BZ3" i="12" s="1"/>
  <c r="CA3" i="12" s="1"/>
  <c r="CB3" i="12" s="1"/>
  <c r="CC3" i="12" s="1"/>
  <c r="CD3" i="12" s="1"/>
  <c r="CE3" i="12" s="1"/>
  <c r="CF3" i="12" s="1"/>
  <c r="CG3" i="12" s="1"/>
  <c r="CH3" i="12" s="1"/>
  <c r="CI3" i="12" s="1"/>
  <c r="CJ3" i="12" s="1"/>
  <c r="CK3" i="12" s="1"/>
  <c r="CL3" i="12" s="1"/>
  <c r="CM3" i="12" s="1"/>
  <c r="CN3" i="12" s="1"/>
  <c r="CO3" i="12" s="1"/>
  <c r="CP3" i="12" s="1"/>
  <c r="CQ3" i="12" s="1"/>
  <c r="CR3" i="12" s="1"/>
  <c r="CS3" i="12" s="1"/>
  <c r="CT3" i="12" s="1"/>
  <c r="CU3" i="12" s="1"/>
  <c r="BU1" i="12"/>
  <c r="BV1" i="12" s="1"/>
  <c r="BW1" i="12" s="1"/>
  <c r="BX1" i="12" s="1"/>
  <c r="BY1" i="12" s="1"/>
  <c r="BZ1" i="12" s="1"/>
  <c r="CA1" i="12" s="1"/>
  <c r="CB1" i="12" s="1"/>
  <c r="CC1" i="12" s="1"/>
  <c r="CD1" i="12" s="1"/>
  <c r="CE1" i="12" s="1"/>
  <c r="CF1" i="12" s="1"/>
  <c r="CG1" i="12" s="1"/>
  <c r="CH1" i="12" s="1"/>
  <c r="CI1" i="12" s="1"/>
  <c r="CJ1" i="12" s="1"/>
  <c r="CK1" i="12" s="1"/>
  <c r="CL1" i="12" s="1"/>
  <c r="CM1" i="12" s="1"/>
  <c r="CN1" i="12" s="1"/>
  <c r="CO1" i="12" s="1"/>
  <c r="CP1" i="12" s="1"/>
  <c r="CQ1" i="12" s="1"/>
  <c r="CR1" i="12" s="1"/>
  <c r="CS1" i="12" s="1"/>
  <c r="CT1" i="12" s="1"/>
  <c r="CU1" i="12" s="1"/>
  <c r="BW7" i="11"/>
  <c r="BX7" i="11" s="1"/>
  <c r="BY7" i="11" s="1"/>
  <c r="BZ7" i="11" s="1"/>
  <c r="CA7" i="11" s="1"/>
  <c r="CB7" i="11" s="1"/>
  <c r="CC7" i="11" s="1"/>
  <c r="CD7" i="11" s="1"/>
  <c r="CE7" i="11" s="1"/>
  <c r="CF7" i="11" s="1"/>
  <c r="CG7" i="11" s="1"/>
  <c r="CH7" i="11" s="1"/>
  <c r="CI7" i="11" s="1"/>
  <c r="CJ7" i="11" s="1"/>
  <c r="CK7" i="11" s="1"/>
  <c r="CL7" i="11" s="1"/>
  <c r="CM7" i="11" s="1"/>
  <c r="CN7" i="11" s="1"/>
  <c r="CO7" i="11" s="1"/>
  <c r="CP7" i="11" s="1"/>
  <c r="CQ7" i="11" s="1"/>
  <c r="CR7" i="11" s="1"/>
  <c r="CS7" i="11" s="1"/>
  <c r="CT7" i="11" s="1"/>
  <c r="CU7" i="11" s="1"/>
  <c r="BW6" i="11"/>
  <c r="BX6" i="11" s="1"/>
  <c r="BY6" i="11" s="1"/>
  <c r="BZ6" i="11" s="1"/>
  <c r="CA6" i="11" s="1"/>
  <c r="CB6" i="11" s="1"/>
  <c r="CC6" i="11" s="1"/>
  <c r="CD6" i="11" s="1"/>
  <c r="CE6" i="11" s="1"/>
  <c r="CF6" i="11" s="1"/>
  <c r="CG6" i="11" s="1"/>
  <c r="CH6" i="11" s="1"/>
  <c r="CI6" i="11" s="1"/>
  <c r="CJ6" i="11" s="1"/>
  <c r="CK6" i="11" s="1"/>
  <c r="CL6" i="11" s="1"/>
  <c r="CM6" i="11" s="1"/>
  <c r="CN6" i="11" s="1"/>
  <c r="CO6" i="11" s="1"/>
  <c r="CP6" i="11" s="1"/>
  <c r="CQ6" i="11" s="1"/>
  <c r="CR6" i="11" s="1"/>
  <c r="CS6" i="11" s="1"/>
  <c r="CT6" i="11" s="1"/>
  <c r="CU6" i="11" s="1"/>
  <c r="BV7" i="11"/>
  <c r="BV6" i="11"/>
  <c r="AZ7" i="11"/>
  <c r="BA7" i="11" s="1"/>
  <c r="BB7" i="11" s="1"/>
  <c r="BC7" i="11" s="1"/>
  <c r="BD7" i="11" s="1"/>
  <c r="BE7" i="11" s="1"/>
  <c r="BF7" i="11" s="1"/>
  <c r="BG7" i="11" s="1"/>
  <c r="BH7" i="11" s="1"/>
  <c r="BI7" i="11" s="1"/>
  <c r="BJ7" i="11" s="1"/>
  <c r="BK7" i="11" s="1"/>
  <c r="BL7" i="11" s="1"/>
  <c r="BM7" i="11" s="1"/>
  <c r="BN7" i="11" s="1"/>
  <c r="BO7" i="11" s="1"/>
  <c r="BP7" i="11" s="1"/>
  <c r="BQ7" i="11" s="1"/>
  <c r="BR7" i="11" s="1"/>
  <c r="BS7" i="11" s="1"/>
  <c r="BT7" i="11" s="1"/>
  <c r="BU7" i="11" s="1"/>
  <c r="AZ6" i="11"/>
  <c r="BA6" i="11" s="1"/>
  <c r="BB6" i="11" s="1"/>
  <c r="BC6" i="11" s="1"/>
  <c r="BD6" i="11" s="1"/>
  <c r="BE6" i="11" s="1"/>
  <c r="BF6" i="11" s="1"/>
  <c r="BG6" i="11" s="1"/>
  <c r="BH6" i="11" s="1"/>
  <c r="BI6" i="11" s="1"/>
  <c r="BJ6" i="11" s="1"/>
  <c r="BK6" i="11" s="1"/>
  <c r="BL6" i="11" s="1"/>
  <c r="BM6" i="11" s="1"/>
  <c r="BN6" i="11" s="1"/>
  <c r="BO6" i="11" s="1"/>
  <c r="BP6" i="11" s="1"/>
  <c r="BQ6" i="11" s="1"/>
  <c r="BR6" i="11" s="1"/>
  <c r="BS6" i="11" s="1"/>
  <c r="BT6" i="11" s="1"/>
  <c r="BU6" i="11" s="1"/>
  <c r="AY7" i="11"/>
  <c r="AY6" i="11"/>
  <c r="C14" i="11"/>
  <c r="D14" i="11" s="1"/>
  <c r="E14" i="11" s="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W14" i="11" s="1"/>
  <c r="X14" i="11" s="1"/>
  <c r="Y14" i="11" s="1"/>
  <c r="Z14" i="11" s="1"/>
  <c r="AA14" i="11" s="1"/>
  <c r="AB14" i="11" s="1"/>
  <c r="AC14" i="11" s="1"/>
  <c r="AD14" i="11" s="1"/>
  <c r="AE14" i="11" s="1"/>
  <c r="AF14" i="11" s="1"/>
  <c r="AG14" i="11" s="1"/>
  <c r="AH14" i="11" s="1"/>
  <c r="AI14" i="11" s="1"/>
  <c r="AJ14" i="11" s="1"/>
  <c r="AK14" i="11" s="1"/>
  <c r="AL14" i="11" s="1"/>
  <c r="AM14" i="11" s="1"/>
  <c r="AN14" i="11" s="1"/>
  <c r="AO14" i="11" s="1"/>
  <c r="AP14" i="11" s="1"/>
  <c r="AQ14" i="11" s="1"/>
  <c r="AR14" i="11" s="1"/>
  <c r="AS14" i="11" s="1"/>
  <c r="AT14" i="11" s="1"/>
  <c r="AU14" i="11" s="1"/>
  <c r="AV14" i="11" s="1"/>
  <c r="AW14" i="11" s="1"/>
  <c r="AX14" i="11" s="1"/>
  <c r="AY14" i="11" s="1"/>
  <c r="AZ14" i="11" s="1"/>
  <c r="BA14" i="11" s="1"/>
  <c r="BB14" i="11" s="1"/>
  <c r="BC14" i="11" s="1"/>
  <c r="BD14" i="11" s="1"/>
  <c r="BE14" i="11" s="1"/>
  <c r="BF14" i="11" s="1"/>
  <c r="BG14" i="11" s="1"/>
  <c r="BH14" i="11" s="1"/>
  <c r="BI14" i="11" s="1"/>
  <c r="BJ14" i="11" s="1"/>
  <c r="BK14" i="11" s="1"/>
  <c r="BL14" i="11" s="1"/>
  <c r="BM14" i="11" s="1"/>
  <c r="BN14" i="11" s="1"/>
  <c r="BO14" i="11" s="1"/>
  <c r="BP14" i="11" s="1"/>
  <c r="BQ14" i="11" s="1"/>
  <c r="BR14" i="11" s="1"/>
  <c r="BS14" i="11" s="1"/>
  <c r="BT14" i="11" s="1"/>
  <c r="BU14" i="11" s="1"/>
  <c r="BV14" i="11" s="1"/>
  <c r="BW14" i="11" s="1"/>
  <c r="BX14" i="11" s="1"/>
  <c r="BY14" i="11" s="1"/>
  <c r="BZ14" i="11" s="1"/>
  <c r="CA14" i="11" s="1"/>
  <c r="CB14" i="11" s="1"/>
  <c r="CC14" i="11" s="1"/>
  <c r="CD14" i="11" s="1"/>
  <c r="CE14" i="11" s="1"/>
  <c r="CF14" i="11" s="1"/>
  <c r="CG14" i="11" s="1"/>
  <c r="CH14" i="11" s="1"/>
  <c r="CI14" i="11" s="1"/>
  <c r="CJ14" i="11" s="1"/>
  <c r="CK14" i="11" s="1"/>
  <c r="CL14" i="11" s="1"/>
  <c r="CM14" i="11" s="1"/>
  <c r="CN14" i="11" s="1"/>
  <c r="CO14" i="11" s="1"/>
  <c r="CP14" i="11" s="1"/>
  <c r="CQ14" i="11" s="1"/>
  <c r="CR14" i="11" s="1"/>
  <c r="CS14" i="11" s="1"/>
  <c r="CT14" i="11" s="1"/>
  <c r="CU14" i="11" s="1"/>
  <c r="CV14" i="11" s="1"/>
  <c r="BW7" i="13"/>
  <c r="BX7" i="13" s="1"/>
  <c r="BY7" i="13" s="1"/>
  <c r="BZ7" i="13" s="1"/>
  <c r="CA7" i="13" s="1"/>
  <c r="CB7" i="13" s="1"/>
  <c r="CC7" i="13" s="1"/>
  <c r="CD7" i="13" s="1"/>
  <c r="CE7" i="13" s="1"/>
  <c r="CF7" i="13" s="1"/>
  <c r="CG7" i="13" s="1"/>
  <c r="CH7" i="13" s="1"/>
  <c r="CI7" i="13" s="1"/>
  <c r="CJ7" i="13" s="1"/>
  <c r="CK7" i="13" s="1"/>
  <c r="CL7" i="13" s="1"/>
  <c r="CM7" i="13" s="1"/>
  <c r="CN7" i="13" s="1"/>
  <c r="CO7" i="13" s="1"/>
  <c r="CP7" i="13" s="1"/>
  <c r="CQ7" i="13" s="1"/>
  <c r="CR7" i="13" s="1"/>
  <c r="CS7" i="13" s="1"/>
  <c r="CT7" i="13" s="1"/>
  <c r="CU7" i="13" s="1"/>
  <c r="CV7" i="13" s="1"/>
  <c r="BX6" i="13"/>
  <c r="BY6" i="13" s="1"/>
  <c r="BZ6" i="13" s="1"/>
  <c r="CA6" i="13" s="1"/>
  <c r="CB6" i="13" s="1"/>
  <c r="CC6" i="13" s="1"/>
  <c r="CD6" i="13" s="1"/>
  <c r="CE6" i="13" s="1"/>
  <c r="CF6" i="13" s="1"/>
  <c r="CG6" i="13" s="1"/>
  <c r="CH6" i="13" s="1"/>
  <c r="CI6" i="13" s="1"/>
  <c r="CJ6" i="13" s="1"/>
  <c r="CK6" i="13" s="1"/>
  <c r="CL6" i="13" s="1"/>
  <c r="CM6" i="13" s="1"/>
  <c r="CN6" i="13" s="1"/>
  <c r="CO6" i="13" s="1"/>
  <c r="CP6" i="13" s="1"/>
  <c r="CQ6" i="13" s="1"/>
  <c r="CR6" i="13" s="1"/>
  <c r="CS6" i="13" s="1"/>
  <c r="CT6" i="13" s="1"/>
  <c r="CU6" i="13" s="1"/>
  <c r="CV6" i="13" s="1"/>
  <c r="BW6" i="13"/>
  <c r="BV7" i="13"/>
  <c r="BV6" i="13"/>
  <c r="D10" i="13"/>
  <c r="E10" i="13" s="1"/>
  <c r="F10" i="13" s="1"/>
  <c r="G10" i="13" s="1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E10" i="13" s="1"/>
  <c r="BF10" i="13" s="1"/>
  <c r="BG10" i="13" s="1"/>
  <c r="BH10" i="13" s="1"/>
  <c r="BI10" i="13" s="1"/>
  <c r="BJ10" i="13" s="1"/>
  <c r="BK10" i="13" s="1"/>
  <c r="BL10" i="13" s="1"/>
  <c r="BM10" i="13" s="1"/>
  <c r="BN10" i="13" s="1"/>
  <c r="BO10" i="13" s="1"/>
  <c r="BP10" i="13" s="1"/>
  <c r="BQ10" i="13" s="1"/>
  <c r="BR10" i="13" s="1"/>
  <c r="BS10" i="13" s="1"/>
  <c r="BT10" i="13" s="1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CH10" i="13" s="1"/>
  <c r="CI10" i="13" s="1"/>
  <c r="CJ10" i="13" s="1"/>
  <c r="CK10" i="13" s="1"/>
  <c r="CL10" i="13" s="1"/>
  <c r="CM10" i="13" s="1"/>
  <c r="CN10" i="13" s="1"/>
  <c r="CO10" i="13" s="1"/>
  <c r="CP10" i="13" s="1"/>
  <c r="CQ10" i="13" s="1"/>
  <c r="CR10" i="13" s="1"/>
  <c r="CS10" i="13" s="1"/>
  <c r="CT10" i="13" s="1"/>
  <c r="CU10" i="13" s="1"/>
  <c r="CV10" i="13" s="1"/>
  <c r="CW10" i="13" s="1"/>
  <c r="C10" i="13"/>
  <c r="AZ7" i="13"/>
  <c r="BA7" i="13" s="1"/>
  <c r="BB7" i="13" s="1"/>
  <c r="BC7" i="13" s="1"/>
  <c r="BD7" i="13" s="1"/>
  <c r="BE7" i="13" s="1"/>
  <c r="BF7" i="13" s="1"/>
  <c r="BG7" i="13" s="1"/>
  <c r="BH7" i="13" s="1"/>
  <c r="BI7" i="13" s="1"/>
  <c r="BJ7" i="13" s="1"/>
  <c r="BK7" i="13" s="1"/>
  <c r="BL7" i="13" s="1"/>
  <c r="BM7" i="13" s="1"/>
  <c r="BN7" i="13" s="1"/>
  <c r="BO7" i="13" s="1"/>
  <c r="BP7" i="13" s="1"/>
  <c r="BQ7" i="13" s="1"/>
  <c r="BR7" i="13" s="1"/>
  <c r="BS7" i="13" s="1"/>
  <c r="BT7" i="13" s="1"/>
  <c r="BU7" i="13" s="1"/>
  <c r="AZ6" i="13"/>
  <c r="BA6" i="13" s="1"/>
  <c r="BB6" i="13" s="1"/>
  <c r="BC6" i="13" s="1"/>
  <c r="BD6" i="13" s="1"/>
  <c r="BE6" i="13" s="1"/>
  <c r="BF6" i="13" s="1"/>
  <c r="BG6" i="13" s="1"/>
  <c r="BH6" i="13" s="1"/>
  <c r="BI6" i="13" s="1"/>
  <c r="BJ6" i="13" s="1"/>
  <c r="BK6" i="13" s="1"/>
  <c r="BL6" i="13" s="1"/>
  <c r="BM6" i="13" s="1"/>
  <c r="BN6" i="13" s="1"/>
  <c r="BO6" i="13" s="1"/>
  <c r="BP6" i="13" s="1"/>
  <c r="BQ6" i="13" s="1"/>
  <c r="BR6" i="13" s="1"/>
  <c r="BS6" i="13" s="1"/>
  <c r="BT6" i="13" s="1"/>
  <c r="BU6" i="13" s="1"/>
  <c r="AY7" i="13"/>
  <c r="AY6" i="13"/>
  <c r="BU11" i="8" l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CF11" i="8" s="1"/>
  <c r="CG11" i="8" s="1"/>
  <c r="CH11" i="8" s="1"/>
  <c r="CI11" i="8" s="1"/>
  <c r="CJ11" i="8" s="1"/>
  <c r="CK11" i="8" s="1"/>
  <c r="CL11" i="8" s="1"/>
  <c r="CM11" i="8" s="1"/>
  <c r="CN11" i="8" s="1"/>
  <c r="CO11" i="8" s="1"/>
  <c r="CP11" i="8" s="1"/>
  <c r="CQ11" i="8" s="1"/>
  <c r="CR11" i="8" s="1"/>
  <c r="CS11" i="8" s="1"/>
  <c r="CT11" i="8" s="1"/>
  <c r="CU11" i="8" s="1"/>
  <c r="BU10" i="8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CF10" i="8" s="1"/>
  <c r="CG10" i="8" s="1"/>
  <c r="CH10" i="8" s="1"/>
  <c r="CI10" i="8" s="1"/>
  <c r="CJ10" i="8" s="1"/>
  <c r="CK10" i="8" s="1"/>
  <c r="CL10" i="8" s="1"/>
  <c r="CM10" i="8" s="1"/>
  <c r="CN10" i="8" s="1"/>
  <c r="CO10" i="8" s="1"/>
  <c r="CP10" i="8" s="1"/>
  <c r="CQ10" i="8" s="1"/>
  <c r="CR10" i="8" s="1"/>
  <c r="CS10" i="8" s="1"/>
  <c r="CT10" i="8" s="1"/>
  <c r="CU10" i="8" s="1"/>
  <c r="BV24" i="10" l="1"/>
  <c r="BW24" i="10" s="1"/>
  <c r="BX24" i="10" s="1"/>
  <c r="BY24" i="10" s="1"/>
  <c r="BZ24" i="10" s="1"/>
  <c r="CA24" i="10" s="1"/>
  <c r="CB24" i="10" s="1"/>
  <c r="CC24" i="10" s="1"/>
  <c r="CD24" i="10" s="1"/>
  <c r="CE24" i="10" s="1"/>
  <c r="CF24" i="10" s="1"/>
  <c r="CG24" i="10" s="1"/>
  <c r="CH24" i="10" s="1"/>
  <c r="CI24" i="10" s="1"/>
  <c r="CJ24" i="10" s="1"/>
  <c r="CK24" i="10" s="1"/>
  <c r="CL24" i="10" s="1"/>
  <c r="CM24" i="10" s="1"/>
  <c r="CN24" i="10" s="1"/>
  <c r="CO24" i="10" s="1"/>
  <c r="CP24" i="10" s="1"/>
  <c r="CQ24" i="10" s="1"/>
  <c r="CR24" i="10" s="1"/>
  <c r="CS24" i="10" s="1"/>
  <c r="CT24" i="10" s="1"/>
  <c r="CU24" i="10" s="1"/>
  <c r="BU24" i="10"/>
  <c r="BV4" i="10"/>
  <c r="BW4" i="10" s="1"/>
  <c r="BX4" i="10" s="1"/>
  <c r="BY4" i="10" s="1"/>
  <c r="BZ4" i="10" s="1"/>
  <c r="CA4" i="10" s="1"/>
  <c r="CB4" i="10" s="1"/>
  <c r="CC4" i="10" s="1"/>
  <c r="CD4" i="10" s="1"/>
  <c r="CE4" i="10" s="1"/>
  <c r="CF4" i="10" s="1"/>
  <c r="CG4" i="10" s="1"/>
  <c r="CH4" i="10" s="1"/>
  <c r="CI4" i="10" s="1"/>
  <c r="CJ4" i="10" s="1"/>
  <c r="CK4" i="10" s="1"/>
  <c r="CL4" i="10" s="1"/>
  <c r="CM4" i="10" s="1"/>
  <c r="CN4" i="10" s="1"/>
  <c r="CO4" i="10" s="1"/>
  <c r="CP4" i="10" s="1"/>
  <c r="CQ4" i="10" s="1"/>
  <c r="CR4" i="10" s="1"/>
  <c r="CS4" i="10" s="1"/>
  <c r="CT4" i="10" s="1"/>
  <c r="CU4" i="10" s="1"/>
  <c r="BU4" i="10"/>
  <c r="BV2" i="10"/>
  <c r="BW2" i="10" s="1"/>
  <c r="BX2" i="10" s="1"/>
  <c r="BY2" i="10" s="1"/>
  <c r="BZ2" i="10" s="1"/>
  <c r="CA2" i="10" s="1"/>
  <c r="CB2" i="10" s="1"/>
  <c r="CC2" i="10" s="1"/>
  <c r="CD2" i="10" s="1"/>
  <c r="CE2" i="10" s="1"/>
  <c r="CF2" i="10" s="1"/>
  <c r="CG2" i="10" s="1"/>
  <c r="CH2" i="10" s="1"/>
  <c r="CI2" i="10" s="1"/>
  <c r="CJ2" i="10" s="1"/>
  <c r="CK2" i="10" s="1"/>
  <c r="CL2" i="10" s="1"/>
  <c r="CM2" i="10" s="1"/>
  <c r="CN2" i="10" s="1"/>
  <c r="CO2" i="10" s="1"/>
  <c r="CP2" i="10" s="1"/>
  <c r="CQ2" i="10" s="1"/>
  <c r="CR2" i="10" s="1"/>
  <c r="CS2" i="10" s="1"/>
  <c r="CT2" i="10" s="1"/>
  <c r="CU2" i="10" s="1"/>
  <c r="BU2" i="10"/>
  <c r="BV23" i="9"/>
  <c r="BW23" i="9" s="1"/>
  <c r="BX23" i="9" s="1"/>
  <c r="BY23" i="9" s="1"/>
  <c r="BZ23" i="9" s="1"/>
  <c r="CA23" i="9" s="1"/>
  <c r="CB23" i="9" s="1"/>
  <c r="CC23" i="9" s="1"/>
  <c r="CD23" i="9" s="1"/>
  <c r="CE23" i="9" s="1"/>
  <c r="CF23" i="9" s="1"/>
  <c r="CG23" i="9" s="1"/>
  <c r="CH23" i="9" s="1"/>
  <c r="CI23" i="9" s="1"/>
  <c r="CJ23" i="9" s="1"/>
  <c r="CK23" i="9" s="1"/>
  <c r="CL23" i="9" s="1"/>
  <c r="CM23" i="9" s="1"/>
  <c r="CN23" i="9" s="1"/>
  <c r="CO23" i="9" s="1"/>
  <c r="CP23" i="9" s="1"/>
  <c r="CQ23" i="9" s="1"/>
  <c r="CR23" i="9" s="1"/>
  <c r="CS23" i="9" s="1"/>
  <c r="CT23" i="9" s="1"/>
  <c r="CU23" i="9" s="1"/>
  <c r="BU23" i="9"/>
  <c r="BV26" i="9"/>
  <c r="BW26" i="9" s="1"/>
  <c r="BX26" i="9" s="1"/>
  <c r="BY26" i="9" s="1"/>
  <c r="BZ26" i="9" s="1"/>
  <c r="CA26" i="9" s="1"/>
  <c r="CB26" i="9" s="1"/>
  <c r="CC26" i="9" s="1"/>
  <c r="CD26" i="9" s="1"/>
  <c r="CE26" i="9" s="1"/>
  <c r="CF26" i="9" s="1"/>
  <c r="CG26" i="9" s="1"/>
  <c r="CH26" i="9" s="1"/>
  <c r="CI26" i="9" s="1"/>
  <c r="CJ26" i="9" s="1"/>
  <c r="CK26" i="9" s="1"/>
  <c r="CL26" i="9" s="1"/>
  <c r="CM26" i="9" s="1"/>
  <c r="CN26" i="9" s="1"/>
  <c r="CO26" i="9" s="1"/>
  <c r="CP26" i="9" s="1"/>
  <c r="CQ26" i="9" s="1"/>
  <c r="CR26" i="9" s="1"/>
  <c r="CS26" i="9" s="1"/>
  <c r="CT26" i="9" s="1"/>
  <c r="CU26" i="9" s="1"/>
  <c r="BU26" i="9"/>
  <c r="BU15" i="9"/>
  <c r="BV15" i="9" s="1"/>
  <c r="BW15" i="9" s="1"/>
  <c r="BX15" i="9" s="1"/>
  <c r="BY15" i="9" s="1"/>
  <c r="BZ15" i="9" s="1"/>
  <c r="CA15" i="9" s="1"/>
  <c r="CB15" i="9" s="1"/>
  <c r="CC15" i="9" s="1"/>
  <c r="CD15" i="9" s="1"/>
  <c r="CE15" i="9" s="1"/>
  <c r="CF15" i="9" s="1"/>
  <c r="CG15" i="9" s="1"/>
  <c r="CH15" i="9" s="1"/>
  <c r="CI15" i="9" s="1"/>
  <c r="CJ15" i="9" s="1"/>
  <c r="CK15" i="9" s="1"/>
  <c r="CL15" i="9" s="1"/>
  <c r="CM15" i="9" s="1"/>
  <c r="CN15" i="9" s="1"/>
  <c r="CO15" i="9" s="1"/>
  <c r="CP15" i="9" s="1"/>
  <c r="CQ15" i="9" s="1"/>
  <c r="CR15" i="9" s="1"/>
  <c r="CS15" i="9" s="1"/>
  <c r="CT15" i="9" s="1"/>
  <c r="CU15" i="9" s="1"/>
  <c r="BF10" i="9"/>
  <c r="BG10" i="9" s="1"/>
  <c r="BH10" i="9" s="1"/>
  <c r="BI10" i="9" s="1"/>
  <c r="BJ10" i="9" s="1"/>
  <c r="BK10" i="9" s="1"/>
  <c r="BL10" i="9" s="1"/>
  <c r="BM10" i="9" s="1"/>
  <c r="BN10" i="9" s="1"/>
  <c r="BO10" i="9" s="1"/>
  <c r="BP10" i="9" s="1"/>
  <c r="BQ10" i="9" s="1"/>
  <c r="BR10" i="9" s="1"/>
  <c r="BS10" i="9" s="1"/>
  <c r="BT10" i="9" s="1"/>
  <c r="BU10" i="9" s="1"/>
  <c r="BV10" i="9" s="1"/>
  <c r="BW10" i="9" s="1"/>
  <c r="BX10" i="9" s="1"/>
  <c r="BY10" i="9" s="1"/>
  <c r="BZ10" i="9" s="1"/>
  <c r="CA10" i="9" s="1"/>
  <c r="CB10" i="9" s="1"/>
  <c r="CC10" i="9" s="1"/>
  <c r="CD10" i="9" s="1"/>
  <c r="CE10" i="9" s="1"/>
  <c r="CF10" i="9" s="1"/>
  <c r="CG10" i="9" s="1"/>
  <c r="CH10" i="9" s="1"/>
  <c r="CI10" i="9" s="1"/>
  <c r="CJ10" i="9" s="1"/>
  <c r="CK10" i="9" s="1"/>
  <c r="CL10" i="9" s="1"/>
  <c r="CM10" i="9" s="1"/>
  <c r="CN10" i="9" s="1"/>
  <c r="CO10" i="9" s="1"/>
  <c r="CP10" i="9" s="1"/>
  <c r="CQ10" i="9" s="1"/>
  <c r="CR10" i="9" s="1"/>
  <c r="CS10" i="9" s="1"/>
  <c r="CT10" i="9" s="1"/>
  <c r="CU10" i="9" s="1"/>
  <c r="BE10" i="9"/>
  <c r="BV4" i="9"/>
  <c r="BW4" i="9" s="1"/>
  <c r="BX4" i="9" s="1"/>
  <c r="BY4" i="9" s="1"/>
  <c r="BZ4" i="9" s="1"/>
  <c r="CA4" i="9" s="1"/>
  <c r="CB4" i="9" s="1"/>
  <c r="CC4" i="9" s="1"/>
  <c r="CD4" i="9" s="1"/>
  <c r="CE4" i="9" s="1"/>
  <c r="CF4" i="9" s="1"/>
  <c r="CG4" i="9" s="1"/>
  <c r="CH4" i="9" s="1"/>
  <c r="CI4" i="9" s="1"/>
  <c r="CJ4" i="9" s="1"/>
  <c r="CK4" i="9" s="1"/>
  <c r="CL4" i="9" s="1"/>
  <c r="CM4" i="9" s="1"/>
  <c r="CN4" i="9" s="1"/>
  <c r="CO4" i="9" s="1"/>
  <c r="CP4" i="9" s="1"/>
  <c r="CQ4" i="9" s="1"/>
  <c r="CR4" i="9" s="1"/>
  <c r="CS4" i="9" s="1"/>
  <c r="CT4" i="9" s="1"/>
  <c r="CU4" i="9" s="1"/>
  <c r="BU4" i="9"/>
  <c r="BV2" i="9"/>
  <c r="BW2" i="9" s="1"/>
  <c r="BX2" i="9" s="1"/>
  <c r="BY2" i="9" s="1"/>
  <c r="BZ2" i="9" s="1"/>
  <c r="CA2" i="9" s="1"/>
  <c r="CB2" i="9" s="1"/>
  <c r="CC2" i="9" s="1"/>
  <c r="CD2" i="9" s="1"/>
  <c r="CE2" i="9" s="1"/>
  <c r="CF2" i="9" s="1"/>
  <c r="CG2" i="9" s="1"/>
  <c r="CH2" i="9" s="1"/>
  <c r="CI2" i="9" s="1"/>
  <c r="CJ2" i="9" s="1"/>
  <c r="CK2" i="9" s="1"/>
  <c r="CL2" i="9" s="1"/>
  <c r="CM2" i="9" s="1"/>
  <c r="CN2" i="9" s="1"/>
  <c r="CO2" i="9" s="1"/>
  <c r="CP2" i="9" s="1"/>
  <c r="CQ2" i="9" s="1"/>
  <c r="CR2" i="9" s="1"/>
  <c r="CS2" i="9" s="1"/>
  <c r="CT2" i="9" s="1"/>
  <c r="CU2" i="9" s="1"/>
  <c r="BU2" i="9"/>
  <c r="BU9" i="8" l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CF9" i="8" s="1"/>
  <c r="CG9" i="8" s="1"/>
  <c r="CH9" i="8" s="1"/>
  <c r="CI9" i="8" s="1"/>
  <c r="CJ9" i="8" s="1"/>
  <c r="CK9" i="8" s="1"/>
  <c r="CL9" i="8" s="1"/>
  <c r="CM9" i="8" s="1"/>
  <c r="CN9" i="8" s="1"/>
  <c r="CO9" i="8" s="1"/>
  <c r="CP9" i="8" s="1"/>
  <c r="CQ9" i="8" s="1"/>
  <c r="CR9" i="8" s="1"/>
  <c r="CS9" i="8" s="1"/>
  <c r="CT9" i="8" s="1"/>
  <c r="CU9" i="8" s="1"/>
  <c r="BU5" i="8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CF5" i="8" s="1"/>
  <c r="CG5" i="8" s="1"/>
  <c r="CH5" i="8" s="1"/>
  <c r="CI5" i="8" s="1"/>
  <c r="CJ5" i="8" s="1"/>
  <c r="CK5" i="8" s="1"/>
  <c r="CL5" i="8" s="1"/>
  <c r="CM5" i="8" s="1"/>
  <c r="CN5" i="8" s="1"/>
  <c r="CO5" i="8" s="1"/>
  <c r="CP5" i="8" s="1"/>
  <c r="CQ5" i="8" s="1"/>
  <c r="CR5" i="8" s="1"/>
  <c r="CS5" i="8" s="1"/>
  <c r="CT5" i="8" s="1"/>
  <c r="CU5" i="8" s="1"/>
  <c r="BU3" i="8"/>
  <c r="BV3" i="8" s="1"/>
  <c r="BW3" i="8" s="1"/>
  <c r="BX3" i="8" s="1"/>
  <c r="BY3" i="8" s="1"/>
  <c r="BZ3" i="8" s="1"/>
  <c r="CA3" i="8" s="1"/>
  <c r="CB3" i="8" s="1"/>
  <c r="CC3" i="8" s="1"/>
  <c r="CD3" i="8" s="1"/>
  <c r="CE3" i="8" s="1"/>
  <c r="CF3" i="8" s="1"/>
  <c r="CG3" i="8" s="1"/>
  <c r="CH3" i="8" s="1"/>
  <c r="CI3" i="8" s="1"/>
  <c r="CJ3" i="8" s="1"/>
  <c r="CK3" i="8" s="1"/>
  <c r="CL3" i="8" s="1"/>
  <c r="CM3" i="8" s="1"/>
  <c r="CN3" i="8" s="1"/>
  <c r="CO3" i="8" s="1"/>
  <c r="CP3" i="8" s="1"/>
  <c r="CQ3" i="8" s="1"/>
  <c r="CR3" i="8" s="1"/>
  <c r="CS3" i="8" s="1"/>
  <c r="CT3" i="8" s="1"/>
  <c r="CU3" i="8" s="1"/>
  <c r="BU1" i="8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BU26" i="7"/>
  <c r="BV26" i="7" s="1"/>
  <c r="BW26" i="7" s="1"/>
  <c r="BX26" i="7" s="1"/>
  <c r="BY26" i="7" s="1"/>
  <c r="BZ26" i="7" s="1"/>
  <c r="CA26" i="7" s="1"/>
  <c r="CB26" i="7" s="1"/>
  <c r="CC26" i="7" s="1"/>
  <c r="CD26" i="7" s="1"/>
  <c r="CE26" i="7" s="1"/>
  <c r="CF26" i="7" s="1"/>
  <c r="CG26" i="7" s="1"/>
  <c r="CH26" i="7" s="1"/>
  <c r="CI26" i="7" s="1"/>
  <c r="CJ26" i="7" s="1"/>
  <c r="CK26" i="7" s="1"/>
  <c r="CL26" i="7" s="1"/>
  <c r="CM26" i="7" s="1"/>
  <c r="CN26" i="7" s="1"/>
  <c r="CO26" i="7" s="1"/>
  <c r="CP26" i="7" s="1"/>
  <c r="CQ26" i="7" s="1"/>
  <c r="CR26" i="7" s="1"/>
  <c r="CS26" i="7" s="1"/>
  <c r="CT26" i="7" s="1"/>
  <c r="CU26" i="7" s="1"/>
  <c r="BU15" i="7"/>
  <c r="BV15" i="7" s="1"/>
  <c r="BW15" i="7" s="1"/>
  <c r="BX15" i="7" s="1"/>
  <c r="BY15" i="7" s="1"/>
  <c r="BZ15" i="7" s="1"/>
  <c r="CA15" i="7" s="1"/>
  <c r="CB15" i="7" s="1"/>
  <c r="CC15" i="7" s="1"/>
  <c r="CD15" i="7" s="1"/>
  <c r="CE15" i="7" s="1"/>
  <c r="CF15" i="7" s="1"/>
  <c r="CG15" i="7" s="1"/>
  <c r="CH15" i="7" s="1"/>
  <c r="CI15" i="7" s="1"/>
  <c r="CJ15" i="7" s="1"/>
  <c r="CK15" i="7" s="1"/>
  <c r="CL15" i="7" s="1"/>
  <c r="CM15" i="7" s="1"/>
  <c r="CN15" i="7" s="1"/>
  <c r="CO15" i="7" s="1"/>
  <c r="CP15" i="7" s="1"/>
  <c r="CQ15" i="7" s="1"/>
  <c r="CR15" i="7" s="1"/>
  <c r="CS15" i="7" s="1"/>
  <c r="CT15" i="7" s="1"/>
  <c r="CU15" i="7" s="1"/>
  <c r="BU6" i="7"/>
  <c r="BV6" i="7" s="1"/>
  <c r="BW6" i="7" s="1"/>
  <c r="BX6" i="7" s="1"/>
  <c r="BY6" i="7" s="1"/>
  <c r="BZ6" i="7" s="1"/>
  <c r="CA6" i="7" s="1"/>
  <c r="CB6" i="7" s="1"/>
  <c r="CC6" i="7" s="1"/>
  <c r="CD6" i="7" s="1"/>
  <c r="CE6" i="7" s="1"/>
  <c r="CF6" i="7" s="1"/>
  <c r="CG6" i="7" s="1"/>
  <c r="CH6" i="7" s="1"/>
  <c r="CI6" i="7" s="1"/>
  <c r="CJ6" i="7" s="1"/>
  <c r="CK6" i="7" s="1"/>
  <c r="CL6" i="7" s="1"/>
  <c r="CM6" i="7" s="1"/>
  <c r="CN6" i="7" s="1"/>
  <c r="CO6" i="7" s="1"/>
  <c r="CP6" i="7" s="1"/>
  <c r="CQ6" i="7" s="1"/>
  <c r="CR6" i="7" s="1"/>
  <c r="CS6" i="7" s="1"/>
  <c r="CT6" i="7" s="1"/>
  <c r="CU6" i="7" s="1"/>
  <c r="BU4" i="7"/>
  <c r="BV4" i="7" s="1"/>
  <c r="BW4" i="7" s="1"/>
  <c r="BX4" i="7" s="1"/>
  <c r="BY4" i="7" s="1"/>
  <c r="BZ4" i="7" s="1"/>
  <c r="CA4" i="7" s="1"/>
  <c r="CB4" i="7" s="1"/>
  <c r="CC4" i="7" s="1"/>
  <c r="CD4" i="7" s="1"/>
  <c r="CE4" i="7" s="1"/>
  <c r="CF4" i="7" s="1"/>
  <c r="CG4" i="7" s="1"/>
  <c r="CH4" i="7" s="1"/>
  <c r="CI4" i="7" s="1"/>
  <c r="CJ4" i="7" s="1"/>
  <c r="CK4" i="7" s="1"/>
  <c r="CL4" i="7" s="1"/>
  <c r="CM4" i="7" s="1"/>
  <c r="CN4" i="7" s="1"/>
  <c r="CO4" i="7" s="1"/>
  <c r="CP4" i="7" s="1"/>
  <c r="CQ4" i="7" s="1"/>
  <c r="CR4" i="7" s="1"/>
  <c r="CS4" i="7" s="1"/>
  <c r="CT4" i="7" s="1"/>
  <c r="CU4" i="7" s="1"/>
  <c r="BV2" i="7"/>
  <c r="BW2" i="7" s="1"/>
  <c r="BX2" i="7" s="1"/>
  <c r="BY2" i="7" s="1"/>
  <c r="BZ2" i="7" s="1"/>
  <c r="CA2" i="7" s="1"/>
  <c r="CB2" i="7" s="1"/>
  <c r="CC2" i="7" s="1"/>
  <c r="CD2" i="7" s="1"/>
  <c r="CE2" i="7" s="1"/>
  <c r="CF2" i="7" s="1"/>
  <c r="CG2" i="7" s="1"/>
  <c r="CH2" i="7" s="1"/>
  <c r="CI2" i="7" s="1"/>
  <c r="CJ2" i="7" s="1"/>
  <c r="CK2" i="7" s="1"/>
  <c r="CL2" i="7" s="1"/>
  <c r="CM2" i="7" s="1"/>
  <c r="CN2" i="7" s="1"/>
  <c r="CO2" i="7" s="1"/>
  <c r="CP2" i="7" s="1"/>
  <c r="CQ2" i="7" s="1"/>
  <c r="CR2" i="7" s="1"/>
  <c r="CS2" i="7" s="1"/>
  <c r="CT2" i="7" s="1"/>
  <c r="CU2" i="7" s="1"/>
  <c r="BU2" i="7"/>
  <c r="BU6" i="6"/>
  <c r="BV6" i="6" s="1"/>
  <c r="BW6" i="6" s="1"/>
  <c r="BX6" i="6" s="1"/>
  <c r="BY6" i="6" s="1"/>
  <c r="BZ6" i="6" s="1"/>
  <c r="CA6" i="6" s="1"/>
  <c r="CB6" i="6" s="1"/>
  <c r="CC6" i="6" s="1"/>
  <c r="CD6" i="6" s="1"/>
  <c r="CE6" i="6" s="1"/>
  <c r="CF6" i="6" s="1"/>
  <c r="CG6" i="6" s="1"/>
  <c r="CH6" i="6" s="1"/>
  <c r="CI6" i="6" s="1"/>
  <c r="CJ6" i="6" s="1"/>
  <c r="CK6" i="6" s="1"/>
  <c r="CL6" i="6" s="1"/>
  <c r="CM6" i="6" s="1"/>
  <c r="CN6" i="6" s="1"/>
  <c r="CO6" i="6" s="1"/>
  <c r="CP6" i="6" s="1"/>
  <c r="CQ6" i="6" s="1"/>
  <c r="CR6" i="6" s="1"/>
  <c r="CS6" i="6" s="1"/>
  <c r="CT6" i="6" s="1"/>
  <c r="CU6" i="6" s="1"/>
  <c r="BV1" i="6"/>
  <c r="BW1" i="6" s="1"/>
  <c r="BX1" i="6" s="1"/>
  <c r="BY1" i="6" s="1"/>
  <c r="BZ1" i="6" s="1"/>
  <c r="CA1" i="6" s="1"/>
  <c r="CB1" i="6" s="1"/>
  <c r="CC1" i="6" s="1"/>
  <c r="CD1" i="6" s="1"/>
  <c r="CE1" i="6" s="1"/>
  <c r="CF1" i="6" s="1"/>
  <c r="CG1" i="6" s="1"/>
  <c r="CH1" i="6" s="1"/>
  <c r="CI1" i="6" s="1"/>
  <c r="CJ1" i="6" s="1"/>
  <c r="CK1" i="6" s="1"/>
  <c r="CL1" i="6" s="1"/>
  <c r="CM1" i="6" s="1"/>
  <c r="CN1" i="6" s="1"/>
  <c r="CO1" i="6" s="1"/>
  <c r="CP1" i="6" s="1"/>
  <c r="CQ1" i="6" s="1"/>
  <c r="CR1" i="6" s="1"/>
  <c r="CS1" i="6" s="1"/>
  <c r="CT1" i="6" s="1"/>
  <c r="CU1" i="6" s="1"/>
  <c r="BU1" i="6"/>
  <c r="BU26" i="5"/>
  <c r="BV26" i="5" s="1"/>
  <c r="BW26" i="5" s="1"/>
  <c r="BX26" i="5" s="1"/>
  <c r="BY26" i="5" s="1"/>
  <c r="BZ26" i="5" s="1"/>
  <c r="CA26" i="5" s="1"/>
  <c r="CB26" i="5" s="1"/>
  <c r="CC26" i="5" s="1"/>
  <c r="CD26" i="5" s="1"/>
  <c r="CE26" i="5" s="1"/>
  <c r="CF26" i="5" s="1"/>
  <c r="CG26" i="5" s="1"/>
  <c r="CH26" i="5" s="1"/>
  <c r="CI26" i="5" s="1"/>
  <c r="CJ26" i="5" s="1"/>
  <c r="CK26" i="5" s="1"/>
  <c r="CL26" i="5" s="1"/>
  <c r="CM26" i="5" s="1"/>
  <c r="CN26" i="5" s="1"/>
  <c r="CO26" i="5" s="1"/>
  <c r="CP26" i="5" s="1"/>
  <c r="CQ26" i="5" s="1"/>
  <c r="CR26" i="5" s="1"/>
  <c r="CS26" i="5" s="1"/>
  <c r="CT26" i="5" s="1"/>
  <c r="CU26" i="5" s="1"/>
  <c r="BU20" i="5"/>
  <c r="BV20" i="5" s="1"/>
  <c r="BW20" i="5" s="1"/>
  <c r="BX20" i="5" s="1"/>
  <c r="BY20" i="5" s="1"/>
  <c r="BZ20" i="5" s="1"/>
  <c r="CA20" i="5" s="1"/>
  <c r="CB20" i="5" s="1"/>
  <c r="CC20" i="5" s="1"/>
  <c r="CD20" i="5" s="1"/>
  <c r="CE20" i="5" s="1"/>
  <c r="CF20" i="5" s="1"/>
  <c r="CG20" i="5" s="1"/>
  <c r="CH20" i="5" s="1"/>
  <c r="CI20" i="5" s="1"/>
  <c r="CJ20" i="5" s="1"/>
  <c r="CK20" i="5" s="1"/>
  <c r="CL20" i="5" s="1"/>
  <c r="CM20" i="5" s="1"/>
  <c r="CN20" i="5" s="1"/>
  <c r="CO20" i="5" s="1"/>
  <c r="CP20" i="5" s="1"/>
  <c r="CQ20" i="5" s="1"/>
  <c r="CR20" i="5" s="1"/>
  <c r="CS20" i="5" s="1"/>
  <c r="CT20" i="5" s="1"/>
  <c r="CU20" i="5" s="1"/>
  <c r="BV4" i="5"/>
  <c r="BW4" i="5" s="1"/>
  <c r="BX4" i="5" s="1"/>
  <c r="BY4" i="5" s="1"/>
  <c r="BZ4" i="5" s="1"/>
  <c r="CA4" i="5" s="1"/>
  <c r="CB4" i="5" s="1"/>
  <c r="CC4" i="5" s="1"/>
  <c r="CD4" i="5" s="1"/>
  <c r="CE4" i="5" s="1"/>
  <c r="CF4" i="5" s="1"/>
  <c r="CG4" i="5" s="1"/>
  <c r="CH4" i="5" s="1"/>
  <c r="CI4" i="5" s="1"/>
  <c r="CJ4" i="5" s="1"/>
  <c r="CK4" i="5" s="1"/>
  <c r="CL4" i="5" s="1"/>
  <c r="CM4" i="5" s="1"/>
  <c r="CN4" i="5" s="1"/>
  <c r="CO4" i="5" s="1"/>
  <c r="CP4" i="5" s="1"/>
  <c r="CQ4" i="5" s="1"/>
  <c r="CR4" i="5" s="1"/>
  <c r="CS4" i="5" s="1"/>
  <c r="CT4" i="5" s="1"/>
  <c r="CU4" i="5" s="1"/>
  <c r="BU4" i="5"/>
  <c r="BV2" i="5"/>
  <c r="BW2" i="5" s="1"/>
  <c r="BX2" i="5" s="1"/>
  <c r="BY2" i="5" s="1"/>
  <c r="BZ2" i="5" s="1"/>
  <c r="CA2" i="5" s="1"/>
  <c r="CB2" i="5" s="1"/>
  <c r="CC2" i="5" s="1"/>
  <c r="CD2" i="5" s="1"/>
  <c r="CE2" i="5" s="1"/>
  <c r="CF2" i="5" s="1"/>
  <c r="CG2" i="5" s="1"/>
  <c r="CH2" i="5" s="1"/>
  <c r="CI2" i="5" s="1"/>
  <c r="CJ2" i="5" s="1"/>
  <c r="CK2" i="5" s="1"/>
  <c r="CL2" i="5" s="1"/>
  <c r="CM2" i="5" s="1"/>
  <c r="CN2" i="5" s="1"/>
  <c r="CO2" i="5" s="1"/>
  <c r="CP2" i="5" s="1"/>
  <c r="CQ2" i="5" s="1"/>
  <c r="CR2" i="5" s="1"/>
  <c r="CS2" i="5" s="1"/>
  <c r="CT2" i="5" s="1"/>
  <c r="CU2" i="5" s="1"/>
  <c r="BU2" i="5"/>
  <c r="BV27" i="4"/>
  <c r="BW27" i="4" s="1"/>
  <c r="BX27" i="4" s="1"/>
  <c r="BY27" i="4" s="1"/>
  <c r="BZ27" i="4" s="1"/>
  <c r="CA27" i="4" s="1"/>
  <c r="CB27" i="4" s="1"/>
  <c r="CC27" i="4" s="1"/>
  <c r="CD27" i="4" s="1"/>
  <c r="CE27" i="4" s="1"/>
  <c r="CF27" i="4" s="1"/>
  <c r="CG27" i="4" s="1"/>
  <c r="CH27" i="4" s="1"/>
  <c r="CI27" i="4" s="1"/>
  <c r="CJ27" i="4" s="1"/>
  <c r="CK27" i="4" s="1"/>
  <c r="CL27" i="4" s="1"/>
  <c r="CM27" i="4" s="1"/>
  <c r="CN27" i="4" s="1"/>
  <c r="CO27" i="4" s="1"/>
  <c r="CP27" i="4" s="1"/>
  <c r="CQ27" i="4" s="1"/>
  <c r="CR27" i="4" s="1"/>
  <c r="CS27" i="4" s="1"/>
  <c r="CT27" i="4" s="1"/>
  <c r="CU27" i="4" s="1"/>
  <c r="BU27" i="4"/>
  <c r="BU5" i="4"/>
  <c r="BV5" i="4" s="1"/>
  <c r="BW5" i="4" s="1"/>
  <c r="BX5" i="4" s="1"/>
  <c r="BY5" i="4" s="1"/>
  <c r="BZ5" i="4" s="1"/>
  <c r="CA5" i="4" s="1"/>
  <c r="CB5" i="4" s="1"/>
  <c r="CC5" i="4" s="1"/>
  <c r="CD5" i="4" s="1"/>
  <c r="CE5" i="4" s="1"/>
  <c r="CF5" i="4" s="1"/>
  <c r="CG5" i="4" s="1"/>
  <c r="CH5" i="4" s="1"/>
  <c r="CI5" i="4" s="1"/>
  <c r="CJ5" i="4" s="1"/>
  <c r="CK5" i="4" s="1"/>
  <c r="CL5" i="4" s="1"/>
  <c r="CM5" i="4" s="1"/>
  <c r="CN5" i="4" s="1"/>
  <c r="CO5" i="4" s="1"/>
  <c r="CP5" i="4" s="1"/>
  <c r="CQ5" i="4" s="1"/>
  <c r="CR5" i="4" s="1"/>
  <c r="CS5" i="4" s="1"/>
  <c r="CT5" i="4" s="1"/>
  <c r="CU5" i="4" s="1"/>
  <c r="BU7" i="4"/>
  <c r="BV7" i="4" s="1"/>
  <c r="BW7" i="4" s="1"/>
  <c r="BX7" i="4" s="1"/>
  <c r="BY7" i="4" s="1"/>
  <c r="BZ7" i="4" s="1"/>
  <c r="CA7" i="4" s="1"/>
  <c r="CB7" i="4" s="1"/>
  <c r="CC7" i="4" s="1"/>
  <c r="CD7" i="4" s="1"/>
  <c r="CE7" i="4" s="1"/>
  <c r="CF7" i="4" s="1"/>
  <c r="CG7" i="4" s="1"/>
  <c r="CH7" i="4" s="1"/>
  <c r="CI7" i="4" s="1"/>
  <c r="CJ7" i="4" s="1"/>
  <c r="CK7" i="4" s="1"/>
  <c r="CL7" i="4" s="1"/>
  <c r="CM7" i="4" s="1"/>
  <c r="CN7" i="4" s="1"/>
  <c r="CO7" i="4" s="1"/>
  <c r="CP7" i="4" s="1"/>
  <c r="CQ7" i="4" s="1"/>
  <c r="CR7" i="4" s="1"/>
  <c r="CS7" i="4" s="1"/>
  <c r="CT7" i="4" s="1"/>
  <c r="CU7" i="4" s="1"/>
  <c r="BU3" i="4"/>
  <c r="BV3" i="4" s="1"/>
  <c r="BW3" i="4" s="1"/>
  <c r="BX3" i="4" s="1"/>
  <c r="BY3" i="4" s="1"/>
  <c r="BZ3" i="4" s="1"/>
  <c r="CA3" i="4" s="1"/>
  <c r="CB3" i="4" s="1"/>
  <c r="CC3" i="4" s="1"/>
  <c r="CD3" i="4" s="1"/>
  <c r="CE3" i="4" s="1"/>
  <c r="CF3" i="4" s="1"/>
  <c r="CG3" i="4" s="1"/>
  <c r="CH3" i="4" s="1"/>
  <c r="CI3" i="4" s="1"/>
  <c r="CJ3" i="4" s="1"/>
  <c r="CK3" i="4" s="1"/>
  <c r="CL3" i="4" s="1"/>
  <c r="CM3" i="4" s="1"/>
  <c r="CN3" i="4" s="1"/>
  <c r="CO3" i="4" s="1"/>
  <c r="CP3" i="4" s="1"/>
  <c r="CQ3" i="4" s="1"/>
  <c r="CR3" i="4" s="1"/>
  <c r="CS3" i="4" s="1"/>
  <c r="CT3" i="4" s="1"/>
  <c r="CU3" i="4" s="1"/>
  <c r="BV1" i="4"/>
  <c r="BW1" i="4" s="1"/>
  <c r="BX1" i="4" s="1"/>
  <c r="BY1" i="4" s="1"/>
  <c r="BZ1" i="4" s="1"/>
  <c r="CA1" i="4" s="1"/>
  <c r="CB1" i="4" s="1"/>
  <c r="CC1" i="4" s="1"/>
  <c r="CD1" i="4" s="1"/>
  <c r="CE1" i="4" s="1"/>
  <c r="CF1" i="4" s="1"/>
  <c r="CG1" i="4" s="1"/>
  <c r="CH1" i="4" s="1"/>
  <c r="CI1" i="4" s="1"/>
  <c r="CJ1" i="4" s="1"/>
  <c r="CK1" i="4" s="1"/>
  <c r="CL1" i="4" s="1"/>
  <c r="CM1" i="4" s="1"/>
  <c r="CN1" i="4" s="1"/>
  <c r="CO1" i="4" s="1"/>
  <c r="CP1" i="4" s="1"/>
  <c r="CQ1" i="4" s="1"/>
  <c r="CR1" i="4" s="1"/>
  <c r="CS1" i="4" s="1"/>
  <c r="CT1" i="4" s="1"/>
  <c r="CU1" i="4" s="1"/>
  <c r="BU1" i="4"/>
  <c r="BV10" i="3"/>
  <c r="BW10" i="3" s="1"/>
  <c r="BX10" i="3" s="1"/>
  <c r="BY10" i="3" s="1"/>
  <c r="BZ10" i="3" s="1"/>
  <c r="CA10" i="3" s="1"/>
  <c r="CB10" i="3" s="1"/>
  <c r="CC10" i="3" s="1"/>
  <c r="CD10" i="3" s="1"/>
  <c r="CE10" i="3" s="1"/>
  <c r="CF10" i="3" s="1"/>
  <c r="CG10" i="3" s="1"/>
  <c r="CH10" i="3" s="1"/>
  <c r="CI10" i="3" s="1"/>
  <c r="CJ10" i="3" s="1"/>
  <c r="CK10" i="3" s="1"/>
  <c r="CL10" i="3" s="1"/>
  <c r="CM10" i="3" s="1"/>
  <c r="CN10" i="3" s="1"/>
  <c r="CO10" i="3" s="1"/>
  <c r="CP10" i="3" s="1"/>
  <c r="CQ10" i="3" s="1"/>
  <c r="CR10" i="3" s="1"/>
  <c r="CS10" i="3" s="1"/>
  <c r="CT10" i="3" s="1"/>
  <c r="CU10" i="3" s="1"/>
  <c r="CV10" i="3" s="1"/>
  <c r="BV8" i="3"/>
  <c r="BW8" i="3" s="1"/>
  <c r="BX8" i="3" s="1"/>
  <c r="BY8" i="3" s="1"/>
  <c r="BZ8" i="3" s="1"/>
  <c r="CA8" i="3" s="1"/>
  <c r="CB8" i="3" s="1"/>
  <c r="CC8" i="3" s="1"/>
  <c r="CD8" i="3" s="1"/>
  <c r="CE8" i="3" s="1"/>
  <c r="CF8" i="3" s="1"/>
  <c r="CG8" i="3" s="1"/>
  <c r="CH8" i="3" s="1"/>
  <c r="CI8" i="3" s="1"/>
  <c r="CJ8" i="3" s="1"/>
  <c r="CK8" i="3" s="1"/>
  <c r="CL8" i="3" s="1"/>
  <c r="CM8" i="3" s="1"/>
  <c r="CN8" i="3" s="1"/>
  <c r="CO8" i="3" s="1"/>
  <c r="CP8" i="3" s="1"/>
  <c r="CQ8" i="3" s="1"/>
  <c r="CR8" i="3" s="1"/>
  <c r="CS8" i="3" s="1"/>
  <c r="CT8" i="3" s="1"/>
  <c r="CU8" i="3" s="1"/>
  <c r="CV8" i="3" s="1"/>
  <c r="AZ7" i="3"/>
  <c r="BA7" i="3" s="1"/>
  <c r="BB7" i="3" s="1"/>
  <c r="BC7" i="3" s="1"/>
  <c r="BD7" i="3" s="1"/>
  <c r="BE7" i="3" s="1"/>
  <c r="BF7" i="3" s="1"/>
  <c r="BG7" i="3" s="1"/>
  <c r="BH7" i="3" s="1"/>
  <c r="BI7" i="3" s="1"/>
  <c r="BJ7" i="3" s="1"/>
  <c r="BK7" i="3" s="1"/>
  <c r="BL7" i="3" s="1"/>
  <c r="BM7" i="3" s="1"/>
  <c r="BN7" i="3" s="1"/>
  <c r="BO7" i="3" s="1"/>
  <c r="BP7" i="3" s="1"/>
  <c r="BQ7" i="3" s="1"/>
  <c r="BR7" i="3" s="1"/>
  <c r="BS7" i="3" s="1"/>
  <c r="BT7" i="3" s="1"/>
  <c r="BU7" i="3" s="1"/>
  <c r="BV7" i="3" s="1"/>
  <c r="BW7" i="3" s="1"/>
  <c r="BX7" i="3" s="1"/>
  <c r="BY7" i="3" s="1"/>
  <c r="BZ7" i="3" s="1"/>
  <c r="CA7" i="3" s="1"/>
  <c r="CB7" i="3" s="1"/>
  <c r="CC7" i="3" s="1"/>
  <c r="CD7" i="3" s="1"/>
  <c r="CE7" i="3" s="1"/>
  <c r="CF7" i="3" s="1"/>
  <c r="CG7" i="3" s="1"/>
  <c r="CH7" i="3" s="1"/>
  <c r="CI7" i="3" s="1"/>
  <c r="CJ7" i="3" s="1"/>
  <c r="CK7" i="3" s="1"/>
  <c r="CL7" i="3" s="1"/>
  <c r="CM7" i="3" s="1"/>
  <c r="CN7" i="3" s="1"/>
  <c r="CO7" i="3" s="1"/>
  <c r="CP7" i="3" s="1"/>
  <c r="CQ7" i="3" s="1"/>
  <c r="CR7" i="3" s="1"/>
  <c r="CS7" i="3" s="1"/>
  <c r="CT7" i="3" s="1"/>
  <c r="CU7" i="3" s="1"/>
  <c r="CV7" i="3" s="1"/>
  <c r="BV1" i="3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BV5" i="3"/>
  <c r="BW5" i="3" s="1"/>
  <c r="BX5" i="3" s="1"/>
  <c r="BY5" i="3" s="1"/>
  <c r="BZ5" i="3" s="1"/>
  <c r="CA5" i="3" s="1"/>
  <c r="CB5" i="3" s="1"/>
  <c r="CC5" i="3" s="1"/>
  <c r="CD5" i="3" s="1"/>
  <c r="CE5" i="3" s="1"/>
  <c r="CF5" i="3" s="1"/>
  <c r="CG5" i="3" s="1"/>
  <c r="CH5" i="3" s="1"/>
  <c r="CI5" i="3" s="1"/>
  <c r="CJ5" i="3" s="1"/>
  <c r="CK5" i="3" s="1"/>
  <c r="CL5" i="3" s="1"/>
  <c r="CM5" i="3" s="1"/>
  <c r="CN5" i="3" s="1"/>
  <c r="CO5" i="3" s="1"/>
  <c r="CP5" i="3" s="1"/>
  <c r="CQ5" i="3" s="1"/>
  <c r="CR5" i="3" s="1"/>
  <c r="CS5" i="3" s="1"/>
  <c r="CT5" i="3" s="1"/>
  <c r="CU5" i="3" s="1"/>
  <c r="CV5" i="3" s="1"/>
  <c r="BV3" i="3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AZ2" i="3"/>
  <c r="BA2" i="3" s="1"/>
  <c r="BB2" i="3" s="1"/>
  <c r="BC2" i="3" s="1"/>
  <c r="BD2" i="3" s="1"/>
  <c r="BE2" i="3" s="1"/>
  <c r="BF2" i="3" s="1"/>
  <c r="BG2" i="3" s="1"/>
  <c r="BH2" i="3" s="1"/>
  <c r="BI2" i="3" s="1"/>
  <c r="BJ2" i="3" s="1"/>
  <c r="BK2" i="3" s="1"/>
  <c r="BL2" i="3" s="1"/>
  <c r="BM2" i="3" s="1"/>
  <c r="BN2" i="3" s="1"/>
  <c r="BO2" i="3" s="1"/>
  <c r="BP2" i="3" s="1"/>
  <c r="BQ2" i="3" s="1"/>
  <c r="BR2" i="3" s="1"/>
  <c r="BS2" i="3" s="1"/>
  <c r="BT2" i="3" s="1"/>
  <c r="BU2" i="3" s="1"/>
  <c r="BV2" i="3" s="1"/>
  <c r="CA28" i="2"/>
  <c r="CB28" i="2" s="1"/>
  <c r="CC28" i="2" s="1"/>
  <c r="CD28" i="2" s="1"/>
  <c r="CE28" i="2" s="1"/>
  <c r="CF28" i="2" s="1"/>
  <c r="CG28" i="2" s="1"/>
  <c r="CH28" i="2" s="1"/>
  <c r="CI28" i="2" s="1"/>
  <c r="CJ28" i="2" s="1"/>
  <c r="CK28" i="2" s="1"/>
  <c r="CL28" i="2" s="1"/>
  <c r="CM28" i="2" s="1"/>
  <c r="CN28" i="2" s="1"/>
  <c r="CO28" i="2" s="1"/>
  <c r="CP28" i="2" s="1"/>
  <c r="CQ28" i="2" s="1"/>
  <c r="CR28" i="2" s="1"/>
  <c r="CS28" i="2" s="1"/>
  <c r="CT28" i="2" s="1"/>
  <c r="CU28" i="2" s="1"/>
  <c r="BU28" i="2"/>
  <c r="BV28" i="2" s="1"/>
  <c r="BW28" i="2" s="1"/>
  <c r="BX28" i="2" s="1"/>
  <c r="BY28" i="2" s="1"/>
  <c r="BZ28" i="2" s="1"/>
  <c r="BT28" i="2"/>
  <c r="BV3" i="2"/>
  <c r="BW3" i="2" s="1"/>
  <c r="BX3" i="2" s="1"/>
  <c r="BY3" i="2" s="1"/>
  <c r="BZ3" i="2" s="1"/>
  <c r="CA3" i="2" s="1"/>
  <c r="CB3" i="2" s="1"/>
  <c r="CC3" i="2" s="1"/>
  <c r="CD3" i="2" s="1"/>
  <c r="CE3" i="2" s="1"/>
  <c r="CF3" i="2" s="1"/>
  <c r="CG3" i="2" s="1"/>
  <c r="CH3" i="2" s="1"/>
  <c r="CI3" i="2" s="1"/>
  <c r="CJ3" i="2" s="1"/>
  <c r="CK3" i="2" s="1"/>
  <c r="CL3" i="2" s="1"/>
  <c r="CM3" i="2" s="1"/>
  <c r="CN3" i="2" s="1"/>
  <c r="CO3" i="2" s="1"/>
  <c r="CP3" i="2" s="1"/>
  <c r="CQ3" i="2" s="1"/>
  <c r="CR3" i="2" s="1"/>
  <c r="CS3" i="2" s="1"/>
  <c r="CT3" i="2" s="1"/>
  <c r="CU3" i="2" s="1"/>
  <c r="BU3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V24" i="1"/>
  <c r="BX24" i="1" s="1"/>
  <c r="BZ24" i="1" s="1"/>
  <c r="CB24" i="1" s="1"/>
  <c r="CD24" i="1" s="1"/>
  <c r="CF24" i="1" s="1"/>
  <c r="CH24" i="1" s="1"/>
  <c r="CJ24" i="1" s="1"/>
  <c r="CL24" i="1" s="1"/>
  <c r="CN24" i="1" s="1"/>
  <c r="CP24" i="1" s="1"/>
  <c r="CR24" i="1" s="1"/>
  <c r="CT24" i="1" s="1"/>
  <c r="CV24" i="1" s="1"/>
  <c r="BU24" i="1"/>
  <c r="BW24" i="1" s="1"/>
  <c r="BY24" i="1" s="1"/>
  <c r="CA24" i="1" s="1"/>
  <c r="CC24" i="1" s="1"/>
  <c r="CE24" i="1" s="1"/>
  <c r="CG24" i="1" s="1"/>
  <c r="CI24" i="1" s="1"/>
  <c r="CK24" i="1" s="1"/>
  <c r="CM24" i="1" s="1"/>
  <c r="CO24" i="1" s="1"/>
  <c r="CQ24" i="1" s="1"/>
  <c r="CS24" i="1" s="1"/>
  <c r="CU24" i="1" s="1"/>
  <c r="BV14" i="1"/>
  <c r="BX14" i="1" s="1"/>
  <c r="BZ14" i="1" s="1"/>
  <c r="CB14" i="1" s="1"/>
  <c r="CD14" i="1" s="1"/>
  <c r="CF14" i="1" s="1"/>
  <c r="CH14" i="1" s="1"/>
  <c r="CJ14" i="1" s="1"/>
  <c r="CL14" i="1" s="1"/>
  <c r="CN14" i="1" s="1"/>
  <c r="CP14" i="1" s="1"/>
  <c r="CR14" i="1" s="1"/>
  <c r="CT14" i="1" s="1"/>
  <c r="CV14" i="1" s="1"/>
  <c r="BU14" i="1"/>
  <c r="BW14" i="1" s="1"/>
  <c r="BY14" i="1" s="1"/>
  <c r="CA14" i="1" s="1"/>
  <c r="CC14" i="1" s="1"/>
  <c r="CE14" i="1" s="1"/>
  <c r="CG14" i="1" s="1"/>
  <c r="CI14" i="1" s="1"/>
  <c r="CK14" i="1" s="1"/>
  <c r="CM14" i="1" s="1"/>
  <c r="CO14" i="1" s="1"/>
  <c r="CQ14" i="1" s="1"/>
  <c r="CS14" i="1" s="1"/>
  <c r="CU14" i="1" s="1"/>
  <c r="BV6" i="1"/>
  <c r="BX6" i="1" s="1"/>
  <c r="BZ6" i="1" s="1"/>
  <c r="CB6" i="1" s="1"/>
  <c r="CD6" i="1" s="1"/>
  <c r="CF6" i="1" s="1"/>
  <c r="CH6" i="1" s="1"/>
  <c r="CJ6" i="1" s="1"/>
  <c r="CL6" i="1" s="1"/>
  <c r="CN6" i="1" s="1"/>
  <c r="CP6" i="1" s="1"/>
  <c r="CR6" i="1" s="1"/>
  <c r="CT6" i="1" s="1"/>
  <c r="CV6" i="1" s="1"/>
  <c r="BU6" i="1"/>
  <c r="BW6" i="1" s="1"/>
  <c r="BY6" i="1" s="1"/>
  <c r="CA6" i="1" s="1"/>
  <c r="CC6" i="1" s="1"/>
  <c r="CE6" i="1" s="1"/>
  <c r="CG6" i="1" s="1"/>
  <c r="CI6" i="1" s="1"/>
  <c r="CK6" i="1" s="1"/>
  <c r="CM6" i="1" s="1"/>
  <c r="CO6" i="1" s="1"/>
  <c r="CQ6" i="1" s="1"/>
  <c r="CS6" i="1" s="1"/>
  <c r="CU6" i="1" s="1"/>
  <c r="CV4" i="1"/>
  <c r="CV2" i="1"/>
  <c r="BX4" i="1"/>
  <c r="BZ4" i="1" s="1"/>
  <c r="CB4" i="1" s="1"/>
  <c r="CD4" i="1" s="1"/>
  <c r="CF4" i="1" s="1"/>
  <c r="CH4" i="1" s="1"/>
  <c r="CJ4" i="1" s="1"/>
  <c r="CL4" i="1" s="1"/>
  <c r="CN4" i="1" s="1"/>
  <c r="CP4" i="1" s="1"/>
  <c r="CR4" i="1" s="1"/>
  <c r="CT4" i="1" s="1"/>
  <c r="BV4" i="1"/>
  <c r="BU4" i="1"/>
  <c r="BW4" i="1" s="1"/>
  <c r="BY4" i="1" s="1"/>
  <c r="CA4" i="1" s="1"/>
  <c r="CC4" i="1" s="1"/>
  <c r="CE4" i="1" s="1"/>
  <c r="CG4" i="1" s="1"/>
  <c r="CI4" i="1" s="1"/>
  <c r="CK4" i="1" s="1"/>
  <c r="CM4" i="1" s="1"/>
  <c r="CO4" i="1" s="1"/>
  <c r="CQ4" i="1" s="1"/>
  <c r="CS4" i="1" s="1"/>
  <c r="CU4" i="1" s="1"/>
  <c r="BY2" i="1"/>
  <c r="CA2" i="1" s="1"/>
  <c r="CC2" i="1" s="1"/>
  <c r="CE2" i="1" s="1"/>
  <c r="CG2" i="1" s="1"/>
  <c r="CI2" i="1" s="1"/>
  <c r="CK2" i="1" s="1"/>
  <c r="CM2" i="1" s="1"/>
  <c r="CO2" i="1" s="1"/>
  <c r="CQ2" i="1" s="1"/>
  <c r="CS2" i="1" s="1"/>
  <c r="CU2" i="1" s="1"/>
  <c r="BX2" i="1"/>
  <c r="BZ2" i="1" s="1"/>
  <c r="CB2" i="1" s="1"/>
  <c r="CD2" i="1" s="1"/>
  <c r="CF2" i="1" s="1"/>
  <c r="CH2" i="1" s="1"/>
  <c r="CJ2" i="1" s="1"/>
  <c r="CL2" i="1" s="1"/>
  <c r="CN2" i="1" s="1"/>
  <c r="CP2" i="1" s="1"/>
  <c r="CR2" i="1" s="1"/>
  <c r="CT2" i="1" s="1"/>
  <c r="BW2" i="1"/>
  <c r="BV2" i="1"/>
  <c r="BU2" i="1"/>
  <c r="BW2" i="3" l="1"/>
  <c r="BX2" i="3" s="1"/>
  <c r="BY2" i="3" s="1"/>
  <c r="BZ2" i="3" s="1"/>
  <c r="CA2" i="3" s="1"/>
  <c r="CB2" i="3" s="1"/>
  <c r="CC2" i="3" s="1"/>
  <c r="CD2" i="3" s="1"/>
  <c r="CE2" i="3" s="1"/>
  <c r="CF2" i="3" s="1"/>
  <c r="CG2" i="3" s="1"/>
  <c r="CH2" i="3" s="1"/>
  <c r="CI2" i="3" s="1"/>
  <c r="CJ2" i="3" s="1"/>
  <c r="CK2" i="3" s="1"/>
  <c r="CL2" i="3" s="1"/>
  <c r="CM2" i="3" s="1"/>
  <c r="CN2" i="3" s="1"/>
  <c r="CO2" i="3" s="1"/>
  <c r="CP2" i="3" s="1"/>
  <c r="CQ2" i="3" s="1"/>
  <c r="CR2" i="3" s="1"/>
  <c r="CS2" i="3" s="1"/>
  <c r="CT2" i="3" s="1"/>
  <c r="CU2" i="3" s="1"/>
  <c r="CV2" i="3" s="1"/>
</calcChain>
</file>

<file path=xl/sharedStrings.xml><?xml version="1.0" encoding="utf-8"?>
<sst xmlns="http://schemas.openxmlformats.org/spreadsheetml/2006/main" count="577" uniqueCount="187">
  <si>
    <t>characterDexterity,2.000000</t>
  </si>
  <si>
    <t>200.000000,</t>
  </si>
  <si>
    <t>characterDexterityModifier,0.000000</t>
  </si>
  <si>
    <t>characterIntelligence,4.000000</t>
  </si>
  <si>
    <t>400.000000,</t>
  </si>
  <si>
    <t>characterIntelligenceModifier,0.000000</t>
  </si>
  <si>
    <t>characterLife,19.000000</t>
  </si>
  <si>
    <t>1900.000000,</t>
  </si>
  <si>
    <t>characterLifeModifier,0.000000</t>
  </si>
  <si>
    <t>characterLifeRegen,0.000000,</t>
  </si>
  <si>
    <t>characterLifeRegenModifier,0.000000,</t>
  </si>
  <si>
    <t>characterMana,19.000000</t>
  </si>
  <si>
    <t>characterManaLimitReserve,0.000000,</t>
  </si>
  <si>
    <t>characterManaLimitReserveModifier,0.000000,</t>
  </si>
  <si>
    <t>characterManaLimitReserveReduction,0.000000,</t>
  </si>
  <si>
    <t>characterManaLimitReserveReductionModifier,0.000000,</t>
  </si>
  <si>
    <t>characterManaModifier,0.000000</t>
  </si>
  <si>
    <t>characterManaRegen,0.000000,</t>
  </si>
  <si>
    <t>characterManaRegenModifier,0.000000,</t>
  </si>
  <si>
    <t>characterOffensiveAbility,0.000000,</t>
  </si>
  <si>
    <t>characterOffensiveAbilityModifier,0.000000,</t>
  </si>
  <si>
    <t>characterRunSpeed,0.000000,</t>
  </si>
  <si>
    <t>characterRunSpeedModifier,0.000000,</t>
  </si>
  <si>
    <t>characterSpellCastSpeed,0.000000,</t>
  </si>
  <si>
    <t>characterSpellCastSpeedModifier,0.000000,</t>
  </si>
  <si>
    <t>characterStrength,4.000000</t>
  </si>
  <si>
    <t>characterStrengthModifier,0.000000</t>
  </si>
  <si>
    <t>characterDefensiveAbilityModifier,0.000000</t>
  </si>
  <si>
    <t>characterLife,0.000000,</t>
  </si>
  <si>
    <t>characterMana,0.000000,</t>
  </si>
  <si>
    <t>characterManaModifier,0.000000,</t>
  </si>
  <si>
    <t>defensiveAbsorption,0.000000,</t>
  </si>
  <si>
    <t>defensiveAbsorptionChance,0.000000,</t>
  </si>
  <si>
    <t>defensiveAbsorptionModifier,0.000000,</t>
  </si>
  <si>
    <t>defensiveAbsorptionModifierChance,0.000000,</t>
  </si>
  <si>
    <t>defensiveCold,0.000000,</t>
  </si>
  <si>
    <t>defensiveColdChance,0.000000,</t>
  </si>
  <si>
    <t>defensiveColdDuration,0.000000,</t>
  </si>
  <si>
    <t>defensiveColdDurationChance,0.000000,</t>
  </si>
  <si>
    <t>defensiveColdDurationModifier,0.000000,</t>
  </si>
  <si>
    <t>defensiveColdDurationModifierChance,0.000000,</t>
  </si>
  <si>
    <t>defensiveColdModifier,0.000000,</t>
  </si>
  <si>
    <t>defensiveColdModifierChance,0.000000,</t>
  </si>
  <si>
    <t>defensiveElementalResistance,0.000000</t>
  </si>
  <si>
    <t>27.25,</t>
  </si>
  <si>
    <t>33.5,</t>
  </si>
  <si>
    <t>13.5,</t>
  </si>
  <si>
    <t>characterLifeModifier,0.000000,</t>
  </si>
  <si>
    <t>characterAttackSpeed,0.000000</t>
  </si>
  <si>
    <t>characterDexterity,5.000000</t>
  </si>
  <si>
    <t>250.000000,</t>
  </si>
  <si>
    <t>characterIntelligence,3.000000</t>
  </si>
  <si>
    <t>150.000000,</t>
  </si>
  <si>
    <t>characterLife,22.000000</t>
  </si>
  <si>
    <t>characterMana,16.000000</t>
  </si>
  <si>
    <t>characterRunSpeed,0.000000</t>
  </si>
  <si>
    <t>characterStrength,3.000000</t>
  </si>
  <si>
    <t>17,</t>
  </si>
  <si>
    <t>characterLightRadius,0.000000,</t>
  </si>
  <si>
    <t>characterRunSpeedJitter,0.000000,</t>
  </si>
  <si>
    <t>characterDexterity,3.000000</t>
  </si>
  <si>
    <t>350.000000,</t>
  </si>
  <si>
    <t>characterIntelligence,2.000000</t>
  </si>
  <si>
    <t>characterLife,28.000000</t>
  </si>
  <si>
    <t>2600.000000,</t>
  </si>
  <si>
    <t>characterMana,10.000000</t>
  </si>
  <si>
    <t>1000.000000,</t>
  </si>
  <si>
    <t>characterStrength,5.000000</t>
  </si>
  <si>
    <t>500.000000,</t>
  </si>
  <si>
    <t>12,</t>
  </si>
  <si>
    <t>28.5,</t>
  </si>
  <si>
    <t>characterDexterity,4.000000</t>
  </si>
  <si>
    <t>300.000000,</t>
  </si>
  <si>
    <t>characterLife,24.000000</t>
  </si>
  <si>
    <t>2400.000000,</t>
  </si>
  <si>
    <t>characterMana,14.000000</t>
  </si>
  <si>
    <t>1400.000000,</t>
  </si>
  <si>
    <t>34,</t>
  </si>
  <si>
    <t>characterOffensiveAbilityModifier,0.000000</t>
  </si>
  <si>
    <t>characterTotalSpeedModifier,0.000000</t>
  </si>
  <si>
    <t>22,</t>
  </si>
  <si>
    <t>characterIntelligence,5.000000</t>
  </si>
  <si>
    <t>450.000000,</t>
  </si>
  <si>
    <t>characterLife,20.000000</t>
  </si>
  <si>
    <t>2000.000000,</t>
  </si>
  <si>
    <t>characterMana,18.000000</t>
  </si>
  <si>
    <t>1800.000000,</t>
  </si>
  <si>
    <t>8.5,</t>
  </si>
  <si>
    <t>characterMana,13.000000</t>
  </si>
  <si>
    <t>1300.000000,</t>
  </si>
  <si>
    <t>37,</t>
  </si>
  <si>
    <t>characterLife,18.000000</t>
  </si>
  <si>
    <t>characterMana,20.000000</t>
  </si>
  <si>
    <t>characterSpellCastSpeed,0.000000</t>
  </si>
  <si>
    <t>characterStrength,2.000000</t>
  </si>
  <si>
    <t>2000,</t>
  </si>
  <si>
    <t>characterLife,26.000000</t>
  </si>
  <si>
    <t>characterMana,12.000000</t>
  </si>
  <si>
    <t>1200.000000,</t>
  </si>
  <si>
    <t>characterDodgePercent,0,</t>
  </si>
  <si>
    <t>characterDeflectProjectile,0,</t>
  </si>
  <si>
    <t>characterStrength,4</t>
  </si>
  <si>
    <t>characterDexterity,3.0</t>
  </si>
  <si>
    <t>characterIntelligence,5</t>
  </si>
  <si>
    <t>characterLife,32</t>
  </si>
  <si>
    <t>characterMana,22</t>
  </si>
  <si>
    <t>characterEnergyAbsorptionPercent,1</t>
  </si>
  <si>
    <t>skillManaCostReduction,0.5</t>
  </si>
  <si>
    <t>354,</t>
  </si>
  <si>
    <t>454,</t>
  </si>
  <si>
    <t>3232,</t>
  </si>
  <si>
    <t>2222,</t>
  </si>
  <si>
    <t>68.5,</t>
  </si>
  <si>
    <t>34.3,</t>
  </si>
  <si>
    <t>400,</t>
  </si>
  <si>
    <t>characterDexterity,3</t>
  </si>
  <si>
    <t>201,</t>
  </si>
  <si>
    <t>characterIntelligence,3</t>
  </si>
  <si>
    <t>300,</t>
  </si>
  <si>
    <t>characterLife,26</t>
  </si>
  <si>
    <t>2600,</t>
  </si>
  <si>
    <t>characterMana,12</t>
  </si>
  <si>
    <t>606,</t>
  </si>
  <si>
    <t>retaliationColdMin,1</t>
  </si>
  <si>
    <t>retaliationColdMax,3</t>
  </si>
  <si>
    <t>offensiveColdModifier,1</t>
  </si>
  <si>
    <t>100,</t>
  </si>
  <si>
    <t>233,</t>
  </si>
  <si>
    <t>284,</t>
  </si>
  <si>
    <t>characterDodgePercent,0</t>
  </si>
  <si>
    <t>characterDeflectProjectile,0</t>
  </si>
  <si>
    <t>350.0,</t>
  </si>
  <si>
    <t>250,</t>
  </si>
  <si>
    <t>characterLife,36</t>
  </si>
  <si>
    <t>3600,</t>
  </si>
  <si>
    <t>characterMana,14</t>
  </si>
  <si>
    <t>1400,</t>
  </si>
  <si>
    <t>retaliationFearMin,2</t>
  </si>
  <si>
    <t>retaliationFearChance,1</t>
  </si>
  <si>
    <t>offensiveFearMin,0.1</t>
  </si>
  <si>
    <t>offensiveFearChance,5</t>
  </si>
  <si>
    <t>32.5,</t>
  </si>
  <si>
    <t>7.5,</t>
  </si>
  <si>
    <t>3,</t>
  </si>
  <si>
    <t>6,</t>
  </si>
  <si>
    <t>characterIntelligence,4</t>
  </si>
  <si>
    <t>characterStrength,3</t>
  </si>
  <si>
    <t>1998,</t>
  </si>
  <si>
    <t>283,</t>
  </si>
  <si>
    <t>111,</t>
  </si>
  <si>
    <t>4300,</t>
  </si>
  <si>
    <t>860,</t>
  </si>
  <si>
    <t>characterIntelligence,6.000000</t>
  </si>
  <si>
    <t>344,</t>
  </si>
  <si>
    <t>2064,</t>
  </si>
  <si>
    <t>258,</t>
  </si>
  <si>
    <t>516,</t>
  </si>
  <si>
    <t>1720,</t>
  </si>
  <si>
    <t>1736,</t>
  </si>
  <si>
    <t>characterLife,40.000000</t>
  </si>
  <si>
    <t>3440,</t>
  </si>
  <si>
    <t>140,</t>
  </si>
  <si>
    <t>characterOffensiveAbility,0.000000</t>
  </si>
  <si>
    <t>characterMana,32.000000</t>
  </si>
  <si>
    <t>430,</t>
  </si>
  <si>
    <t>2752,</t>
  </si>
  <si>
    <t>characterLife,35.000000</t>
  </si>
  <si>
    <t>3010,</t>
  </si>
  <si>
    <t>characterLife,23.000000</t>
  </si>
  <si>
    <t>characterLife,21.000000</t>
  </si>
  <si>
    <t>characterMana,30.000000</t>
  </si>
  <si>
    <t>1978,</t>
  </si>
  <si>
    <t>1402,</t>
  </si>
  <si>
    <t>1806,</t>
  </si>
  <si>
    <t>2580,</t>
  </si>
  <si>
    <t>1376,</t>
  </si>
  <si>
    <t>characterStrengthModifier,0.000000;0;0;0;0;0;0;0;0;0;0;0;0;0;0;0;0;0;0;0;0;0;0;0;0;0;0;0;0;0;0;0;0;0;0;0;0;0;0;0;0;0;0;0;0;0;0;0;0;0;1.25;2.5;3.75;5;6.25;7.5;8.75;10;11.25;12.5;13.75;15;16.25;17.5;18.75;20;21.25;22.5;22.5;23.75;23.75;25;25.125;25.25;25.375;25.5;25.625;25.75;25.875;26;26.125;26.25;26.375;26.5;26.625;26.75;26.875;27;27.125;27.25;27.375;27.5;27.625;27.75;27.875;28;28.125;28.25;28.375;28.5,</t>
  </si>
  <si>
    <t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</si>
  <si>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IntelligenceModifier,0.000000;0;0;0;0;0;0;0;0;0;0;0;0;0;0;0;0;0;0;0;0;0;0;0;0;0;0;0;0;0;0;0;0;0;0;0;0;0;0;0;0;0;0;0;0;0;0;0;0;0;0.25;0.5;0.75;1;1.25;1.5;1.75;2;2.25;2.5;2.75;3;3.25;3.5;3.75;4;4.25;4.5;4.5;4.75;4.75;5;5.25;5.5;5.75;6;6.25;6.5;6.75;7;7.25;7.5;7.75;8;8.25;8.5;8.75;9;9.25;9.5;9.75;10;10.25;10.5;10.75;11;11.25;11.5;11.75;12,</t>
  </si>
  <si>
    <t>characterLif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</si>
  <si>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DefensiveAbil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</si>
  <si>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Dexterity,4.000000;7;10;14;18;21;24;28;32;35;38;42;46;49;52;56;60;63;66;70;74;77;80;84;88;91;94;98;102;105;108;112;116;119;122;126;130;133;136;140;144;147;150;154;158;161;164;168;172;175;178;181;184;187;190;193;196;199;202;205;208;211;214;217;220;223;226;229;232;235;238;241;242.5;244;245.5;247;248.5;250;251.5;253;254.5;256;257.5;259;260.5;262;263.5;265;266.5;268;269.5;271;272.5;274;275.5;277;278.5;280;281.5;283,</t>
  </si>
  <si>
    <t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t>
  </si>
  <si>
    <t>characterLife,50.000000;100;150;200;250;300;350;400;450;500;550;600;650;700;750;800;850;900;950;1000;1050;1100;1150;1200;1250;1300;1350;1400;1450;1500;1550;1600;1650;1700;1750;1800;1850;1900;1950;2000;2050;2100;2150;2200;2250;2300;2350;2400;2450;2500;2550;2600;2650;2700;2750;2800;2850;2900;2950;3000;3050;3100;3150;3200;3250;3300;3350;3400;3450;3500;3550;3600;3625;3650;3675;3700;3725;3750;3775;3800;3825;3850;3875;3900;3925;3950;3975;4000;4025;4050;4075;4100;4125;4150;4175;4200;4225;4250;4275;4300,</t>
  </si>
  <si>
    <t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t>
  </si>
  <si>
    <t>characterStrength,4.000000;7;10;14;18;21;24;28;32;35;38;42;46;49;52;56;60;63;66;70;74;77;80;84;88;91;94;98;102;105;108;112;116;119;122;126;130;133;136;140;144;147;150;154;158;161;164;168;172;175;178;181;184;187;190;193;196;199;202;205;208;211;214;217;220;223;226;229;232;235;238;241;242.5;244;245.5;247;248.5;250;251.5;253;254.5;256;257.5;259;260.5;262;263.5;265;266.5;268;269.5;271;272.5;274;275.5;277;278.5;280;281.5;283,</t>
  </si>
  <si>
    <t>1200,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</si>
</sst>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9" fontId="0" fillId="0" borderId="0" xfId="1" applyFont="1"/>
    <xf numFmtId="0" fontId="0" fillId="0" borderId="0" xfId="0" applyNumberFormat="1" applyAlignment="1">
      <alignment wrapText="1"/>
    </xf>
    <xf numFmtId="0" fontId="0" fillId="0" borderId="0" xfId="0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W29"/>
  <sheetViews>
    <sheetView workbookViewId="0">
      <selection activeCell="A20" sqref="A20"/>
    </sheetView>
  </sheetViews>
  <sheetFormatPr defaultRowHeight="15" x14ac:dyDescent="0.25"/>
  <cols>
    <col min="1" max="1" width="52.42578125" bestFit="1" customWidth="1"/>
    <col min="2" max="3" width="3" bestFit="1" customWidth="1"/>
    <col min="4" max="38" width="4" bestFit="1" customWidth="1"/>
    <col min="39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5" bestFit="1" customWidth="1"/>
    <col min="77" max="77" width="7" bestFit="1" customWidth="1"/>
    <col min="78" max="78" width="6" bestFit="1" customWidth="1"/>
    <col min="79" max="79" width="7" bestFit="1" customWidth="1"/>
    <col min="80" max="80" width="5" bestFit="1" customWidth="1"/>
    <col min="81" max="81" width="7" bestFit="1" customWidth="1"/>
    <col min="82" max="82" width="6" bestFit="1" customWidth="1"/>
    <col min="83" max="83" width="7" bestFit="1" customWidth="1"/>
    <col min="84" max="84" width="5" bestFit="1" customWidth="1"/>
    <col min="85" max="85" width="7" bestFit="1" customWidth="1"/>
    <col min="86" max="86" width="6" bestFit="1" customWidth="1"/>
    <col min="87" max="87" width="7" bestFit="1" customWidth="1"/>
    <col min="88" max="88" width="5" bestFit="1" customWidth="1"/>
    <col min="89" max="89" width="7" bestFit="1" customWidth="1"/>
    <col min="90" max="90" width="6" bestFit="1" customWidth="1"/>
    <col min="91" max="91" width="7" bestFit="1" customWidth="1"/>
    <col min="92" max="92" width="5" bestFit="1" customWidth="1"/>
    <col min="93" max="93" width="7" bestFit="1" customWidth="1"/>
    <col min="94" max="94" width="6" bestFit="1" customWidth="1"/>
    <col min="95" max="95" width="7" bestFit="1" customWidth="1"/>
    <col min="96" max="96" width="5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</cols>
  <sheetData>
    <row r="1" spans="1:100" x14ac:dyDescent="0.25">
      <c r="A1" t="s">
        <v>27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0.5</v>
      </c>
      <c r="AZ1">
        <v>1</v>
      </c>
      <c r="BA1">
        <v>1.5</v>
      </c>
      <c r="BB1">
        <v>2</v>
      </c>
      <c r="BC1">
        <v>2.5</v>
      </c>
      <c r="BD1">
        <v>3</v>
      </c>
      <c r="BE1">
        <v>3.5</v>
      </c>
      <c r="BF1">
        <v>4</v>
      </c>
      <c r="BG1">
        <v>4.5</v>
      </c>
      <c r="BH1">
        <v>5</v>
      </c>
      <c r="BI1">
        <v>5.5</v>
      </c>
      <c r="BJ1">
        <v>6</v>
      </c>
      <c r="BK1">
        <v>6.5</v>
      </c>
      <c r="BL1">
        <v>7</v>
      </c>
      <c r="BM1">
        <v>7.5</v>
      </c>
      <c r="BN1">
        <v>8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>BT1+0.25</f>
        <v>10.25</v>
      </c>
      <c r="BV1">
        <f t="shared" ref="BV1:CU3" si="0">BU1+0.25</f>
        <v>10.5</v>
      </c>
      <c r="BW1">
        <f t="shared" si="0"/>
        <v>10.75</v>
      </c>
      <c r="BX1">
        <f t="shared" si="0"/>
        <v>11</v>
      </c>
      <c r="BY1">
        <f t="shared" si="0"/>
        <v>11.25</v>
      </c>
      <c r="BZ1">
        <f t="shared" si="0"/>
        <v>11.5</v>
      </c>
      <c r="CA1">
        <f t="shared" si="0"/>
        <v>11.75</v>
      </c>
      <c r="CB1">
        <f t="shared" si="0"/>
        <v>12</v>
      </c>
      <c r="CC1">
        <f t="shared" si="0"/>
        <v>12.25</v>
      </c>
      <c r="CD1">
        <f t="shared" si="0"/>
        <v>12.5</v>
      </c>
      <c r="CE1">
        <f t="shared" si="0"/>
        <v>12.75</v>
      </c>
      <c r="CF1">
        <f t="shared" si="0"/>
        <v>13</v>
      </c>
      <c r="CG1">
        <f t="shared" si="0"/>
        <v>13.25</v>
      </c>
      <c r="CH1">
        <f t="shared" si="0"/>
        <v>13.5</v>
      </c>
      <c r="CI1">
        <f t="shared" si="0"/>
        <v>13.75</v>
      </c>
      <c r="CJ1">
        <f t="shared" si="0"/>
        <v>14</v>
      </c>
      <c r="CK1">
        <f t="shared" si="0"/>
        <v>14.25</v>
      </c>
      <c r="CL1">
        <f t="shared" si="0"/>
        <v>14.5</v>
      </c>
      <c r="CM1">
        <f t="shared" si="0"/>
        <v>14.75</v>
      </c>
      <c r="CN1">
        <f t="shared" si="0"/>
        <v>15</v>
      </c>
      <c r="CO1">
        <f t="shared" si="0"/>
        <v>15.25</v>
      </c>
      <c r="CP1">
        <f t="shared" si="0"/>
        <v>15.5</v>
      </c>
      <c r="CQ1">
        <f t="shared" si="0"/>
        <v>15.75</v>
      </c>
      <c r="CR1">
        <f t="shared" si="0"/>
        <v>16</v>
      </c>
      <c r="CS1">
        <f t="shared" si="0"/>
        <v>16.25</v>
      </c>
      <c r="CT1">
        <f t="shared" si="0"/>
        <v>16.5</v>
      </c>
      <c r="CU1">
        <f t="shared" si="0"/>
        <v>16.75</v>
      </c>
      <c r="CV1" t="s">
        <v>57</v>
      </c>
    </row>
    <row r="2" spans="1:100" x14ac:dyDescent="0.25">
      <c r="A2" t="s">
        <v>60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 t="s">
        <v>61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0.5</v>
      </c>
      <c r="AZ3">
        <v>1</v>
      </c>
      <c r="BA3">
        <v>1.5</v>
      </c>
      <c r="BB3">
        <v>2</v>
      </c>
      <c r="BC3">
        <v>2.5</v>
      </c>
      <c r="BD3">
        <v>3</v>
      </c>
      <c r="BE3">
        <v>3.5</v>
      </c>
      <c r="BF3">
        <v>4</v>
      </c>
      <c r="BG3">
        <v>4.5</v>
      </c>
      <c r="BH3">
        <v>5</v>
      </c>
      <c r="BI3">
        <v>5.5</v>
      </c>
      <c r="BJ3">
        <v>6</v>
      </c>
      <c r="BK3">
        <v>6.5</v>
      </c>
      <c r="BL3">
        <v>7</v>
      </c>
      <c r="BM3">
        <v>7.5</v>
      </c>
      <c r="BN3">
        <v>8</v>
      </c>
      <c r="BO3">
        <v>8.5</v>
      </c>
      <c r="BP3">
        <v>9</v>
      </c>
      <c r="BQ3">
        <v>9</v>
      </c>
      <c r="BR3">
        <v>9.5</v>
      </c>
      <c r="BS3">
        <v>9.5</v>
      </c>
      <c r="BT3">
        <v>10</v>
      </c>
      <c r="BU3">
        <f>BT3+0.25</f>
        <v>10.25</v>
      </c>
      <c r="BV3">
        <f t="shared" si="0"/>
        <v>10.5</v>
      </c>
      <c r="BW3">
        <f t="shared" si="0"/>
        <v>10.75</v>
      </c>
      <c r="BX3">
        <f t="shared" si="0"/>
        <v>11</v>
      </c>
      <c r="BY3">
        <f t="shared" si="0"/>
        <v>11.25</v>
      </c>
      <c r="BZ3">
        <f t="shared" si="0"/>
        <v>11.5</v>
      </c>
      <c r="CA3">
        <f t="shared" si="0"/>
        <v>11.75</v>
      </c>
      <c r="CB3">
        <f t="shared" si="0"/>
        <v>12</v>
      </c>
      <c r="CC3">
        <f t="shared" si="0"/>
        <v>12.25</v>
      </c>
      <c r="CD3">
        <f t="shared" si="0"/>
        <v>12.5</v>
      </c>
      <c r="CE3">
        <f t="shared" si="0"/>
        <v>12.75</v>
      </c>
      <c r="CF3">
        <f t="shared" si="0"/>
        <v>13</v>
      </c>
      <c r="CG3">
        <f t="shared" si="0"/>
        <v>13.25</v>
      </c>
      <c r="CH3">
        <f t="shared" si="0"/>
        <v>13.5</v>
      </c>
      <c r="CI3">
        <f t="shared" si="0"/>
        <v>13.75</v>
      </c>
      <c r="CJ3">
        <f t="shared" si="0"/>
        <v>14</v>
      </c>
      <c r="CK3">
        <f t="shared" si="0"/>
        <v>14.25</v>
      </c>
      <c r="CL3">
        <f t="shared" si="0"/>
        <v>14.5</v>
      </c>
      <c r="CM3">
        <f t="shared" si="0"/>
        <v>14.75</v>
      </c>
      <c r="CN3">
        <f t="shared" si="0"/>
        <v>15</v>
      </c>
      <c r="CO3">
        <f t="shared" si="0"/>
        <v>15.25</v>
      </c>
      <c r="CP3">
        <f t="shared" si="0"/>
        <v>15.5</v>
      </c>
      <c r="CQ3">
        <f t="shared" si="0"/>
        <v>15.75</v>
      </c>
      <c r="CR3">
        <f t="shared" si="0"/>
        <v>16</v>
      </c>
      <c r="CS3">
        <f t="shared" si="0"/>
        <v>16.25</v>
      </c>
      <c r="CT3">
        <f t="shared" si="0"/>
        <v>16.5</v>
      </c>
      <c r="CU3">
        <f t="shared" si="0"/>
        <v>16.75</v>
      </c>
      <c r="CV3" t="s">
        <v>57</v>
      </c>
    </row>
    <row r="4" spans="1:100" x14ac:dyDescent="0.25">
      <c r="A4" t="s">
        <v>62</v>
      </c>
      <c r="B4">
        <v>3</v>
      </c>
      <c r="C4">
        <v>5</v>
      </c>
      <c r="D4">
        <v>6</v>
      </c>
      <c r="E4">
        <v>8</v>
      </c>
      <c r="F4">
        <v>9</v>
      </c>
      <c r="G4">
        <v>11</v>
      </c>
      <c r="H4">
        <v>12</v>
      </c>
      <c r="I4">
        <v>14</v>
      </c>
      <c r="J4">
        <v>15</v>
      </c>
      <c r="K4">
        <v>17</v>
      </c>
      <c r="L4">
        <v>18</v>
      </c>
      <c r="M4">
        <v>20</v>
      </c>
      <c r="N4">
        <v>21</v>
      </c>
      <c r="O4">
        <v>23</v>
      </c>
      <c r="P4">
        <v>24</v>
      </c>
      <c r="Q4">
        <v>26</v>
      </c>
      <c r="R4">
        <v>27</v>
      </c>
      <c r="S4">
        <v>29</v>
      </c>
      <c r="T4">
        <v>30</v>
      </c>
      <c r="U4">
        <v>32</v>
      </c>
      <c r="V4">
        <v>33</v>
      </c>
      <c r="W4">
        <v>35</v>
      </c>
      <c r="X4">
        <v>36</v>
      </c>
      <c r="Y4">
        <v>38</v>
      </c>
      <c r="Z4">
        <v>39</v>
      </c>
      <c r="AA4">
        <v>41</v>
      </c>
      <c r="AB4">
        <v>42</v>
      </c>
      <c r="AC4">
        <v>44</v>
      </c>
      <c r="AD4">
        <v>45</v>
      </c>
      <c r="AE4">
        <v>47</v>
      </c>
      <c r="AF4">
        <v>48</v>
      </c>
      <c r="AG4">
        <v>50</v>
      </c>
      <c r="AH4">
        <v>51</v>
      </c>
      <c r="AI4">
        <v>53</v>
      </c>
      <c r="AJ4">
        <v>54</v>
      </c>
      <c r="AK4">
        <v>56</v>
      </c>
      <c r="AL4">
        <v>57</v>
      </c>
      <c r="AM4">
        <v>59</v>
      </c>
      <c r="AN4">
        <v>60</v>
      </c>
      <c r="AO4">
        <v>62</v>
      </c>
      <c r="AP4">
        <v>63</v>
      </c>
      <c r="AQ4">
        <v>65</v>
      </c>
      <c r="AR4">
        <v>66</v>
      </c>
      <c r="AS4">
        <v>68</v>
      </c>
      <c r="AT4">
        <v>69</v>
      </c>
      <c r="AU4">
        <v>71</v>
      </c>
      <c r="AV4">
        <v>72</v>
      </c>
      <c r="AW4">
        <v>74</v>
      </c>
      <c r="AX4">
        <v>75</v>
      </c>
      <c r="AY4">
        <v>77</v>
      </c>
      <c r="AZ4">
        <v>78</v>
      </c>
      <c r="BA4">
        <v>80</v>
      </c>
      <c r="BB4">
        <v>81</v>
      </c>
      <c r="BC4">
        <v>83</v>
      </c>
      <c r="BD4">
        <v>84</v>
      </c>
      <c r="BE4">
        <v>86</v>
      </c>
      <c r="BF4">
        <v>87</v>
      </c>
      <c r="BG4">
        <v>89</v>
      </c>
      <c r="BH4">
        <v>90</v>
      </c>
      <c r="BI4">
        <v>92</v>
      </c>
      <c r="BJ4">
        <v>93</v>
      </c>
      <c r="BK4">
        <v>95</v>
      </c>
      <c r="BL4">
        <v>96</v>
      </c>
      <c r="BM4">
        <v>98</v>
      </c>
      <c r="BN4">
        <v>99</v>
      </c>
      <c r="BO4">
        <v>101</v>
      </c>
      <c r="BP4">
        <v>102</v>
      </c>
      <c r="BQ4">
        <v>104</v>
      </c>
      <c r="BR4">
        <v>105</v>
      </c>
      <c r="BS4">
        <v>107</v>
      </c>
      <c r="BT4">
        <v>108</v>
      </c>
      <c r="BU4">
        <v>110</v>
      </c>
      <c r="BV4">
        <v>111</v>
      </c>
      <c r="BW4">
        <v>113</v>
      </c>
      <c r="BX4">
        <v>114</v>
      </c>
      <c r="BY4">
        <v>116</v>
      </c>
      <c r="BZ4">
        <v>117</v>
      </c>
      <c r="CA4">
        <v>119</v>
      </c>
      <c r="CB4">
        <v>120</v>
      </c>
      <c r="CC4">
        <v>122</v>
      </c>
      <c r="CD4">
        <v>123</v>
      </c>
      <c r="CE4">
        <v>125</v>
      </c>
      <c r="CF4">
        <v>126</v>
      </c>
      <c r="CG4">
        <v>128</v>
      </c>
      <c r="CH4">
        <v>129</v>
      </c>
      <c r="CI4">
        <v>131</v>
      </c>
      <c r="CJ4">
        <v>132</v>
      </c>
      <c r="CK4">
        <v>134</v>
      </c>
      <c r="CL4">
        <v>135</v>
      </c>
      <c r="CM4">
        <v>137</v>
      </c>
      <c r="CN4">
        <v>138</v>
      </c>
      <c r="CO4">
        <v>140</v>
      </c>
      <c r="CP4">
        <v>141</v>
      </c>
      <c r="CQ4">
        <v>143</v>
      </c>
      <c r="CR4">
        <v>144</v>
      </c>
      <c r="CS4">
        <v>146</v>
      </c>
      <c r="CT4">
        <v>147</v>
      </c>
      <c r="CU4">
        <v>149</v>
      </c>
      <c r="CV4" t="s">
        <v>52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0.25</v>
      </c>
      <c r="AZ5">
        <v>0.5</v>
      </c>
      <c r="BA5">
        <v>0.75</v>
      </c>
      <c r="BB5">
        <v>1</v>
      </c>
      <c r="BC5">
        <v>1.25</v>
      </c>
      <c r="BD5">
        <v>1.5</v>
      </c>
      <c r="BE5">
        <v>1.75</v>
      </c>
      <c r="BF5">
        <v>2</v>
      </c>
      <c r="BG5">
        <v>2.25</v>
      </c>
      <c r="BH5">
        <v>2.5</v>
      </c>
      <c r="BI5">
        <v>2.75</v>
      </c>
      <c r="BJ5">
        <v>3</v>
      </c>
      <c r="BK5">
        <v>3.25</v>
      </c>
      <c r="BL5">
        <v>3.5</v>
      </c>
      <c r="BM5">
        <v>3.75</v>
      </c>
      <c r="BN5">
        <v>4</v>
      </c>
      <c r="BO5">
        <v>4.25</v>
      </c>
      <c r="BP5">
        <v>4.5</v>
      </c>
      <c r="BQ5">
        <v>4.5</v>
      </c>
      <c r="BR5">
        <v>4.75</v>
      </c>
      <c r="BS5">
        <v>4.75</v>
      </c>
      <c r="BT5">
        <v>5</v>
      </c>
      <c r="BU5">
        <f>BT5+0.25</f>
        <v>5.25</v>
      </c>
      <c r="BV5">
        <f t="shared" ref="BV5:CU7" si="1">BU5+0.25</f>
        <v>5.5</v>
      </c>
      <c r="BW5">
        <f t="shared" si="1"/>
        <v>5.75</v>
      </c>
      <c r="BX5">
        <f t="shared" si="1"/>
        <v>6</v>
      </c>
      <c r="BY5">
        <f t="shared" si="1"/>
        <v>6.25</v>
      </c>
      <c r="BZ5">
        <f t="shared" si="1"/>
        <v>6.5</v>
      </c>
      <c r="CA5">
        <f t="shared" si="1"/>
        <v>6.75</v>
      </c>
      <c r="CB5">
        <f t="shared" si="1"/>
        <v>7</v>
      </c>
      <c r="CC5">
        <f t="shared" si="1"/>
        <v>7.25</v>
      </c>
      <c r="CD5">
        <f t="shared" si="1"/>
        <v>7.5</v>
      </c>
      <c r="CE5">
        <f t="shared" si="1"/>
        <v>7.75</v>
      </c>
      <c r="CF5">
        <f t="shared" si="1"/>
        <v>8</v>
      </c>
      <c r="CG5">
        <f t="shared" si="1"/>
        <v>8.25</v>
      </c>
      <c r="CH5">
        <f t="shared" si="1"/>
        <v>8.5</v>
      </c>
      <c r="CI5">
        <f t="shared" si="1"/>
        <v>8.75</v>
      </c>
      <c r="CJ5">
        <f t="shared" si="1"/>
        <v>9</v>
      </c>
      <c r="CK5">
        <f t="shared" si="1"/>
        <v>9.25</v>
      </c>
      <c r="CL5">
        <f t="shared" si="1"/>
        <v>9.5</v>
      </c>
      <c r="CM5">
        <f t="shared" si="1"/>
        <v>9.75</v>
      </c>
      <c r="CN5">
        <f t="shared" si="1"/>
        <v>10</v>
      </c>
      <c r="CO5">
        <f t="shared" si="1"/>
        <v>10.25</v>
      </c>
      <c r="CP5">
        <f t="shared" si="1"/>
        <v>10.5</v>
      </c>
      <c r="CQ5">
        <f t="shared" si="1"/>
        <v>10.75</v>
      </c>
      <c r="CR5">
        <f t="shared" si="1"/>
        <v>11</v>
      </c>
      <c r="CS5">
        <f t="shared" si="1"/>
        <v>11.25</v>
      </c>
      <c r="CT5">
        <f t="shared" si="1"/>
        <v>11.5</v>
      </c>
      <c r="CU5">
        <f t="shared" si="1"/>
        <v>11.75</v>
      </c>
      <c r="CV5" t="s">
        <v>69</v>
      </c>
    </row>
    <row r="6" spans="1:100" x14ac:dyDescent="0.25">
      <c r="A6" t="s">
        <v>63</v>
      </c>
      <c r="B6">
        <v>54</v>
      </c>
      <c r="C6">
        <v>80</v>
      </c>
      <c r="D6">
        <v>106</v>
      </c>
      <c r="E6">
        <v>132</v>
      </c>
      <c r="F6">
        <v>158</v>
      </c>
      <c r="G6">
        <v>184</v>
      </c>
      <c r="H6">
        <v>210</v>
      </c>
      <c r="I6">
        <v>236</v>
      </c>
      <c r="J6">
        <v>262</v>
      </c>
      <c r="K6">
        <v>288</v>
      </c>
      <c r="L6">
        <v>314</v>
      </c>
      <c r="M6">
        <v>340</v>
      </c>
      <c r="N6">
        <v>366</v>
      </c>
      <c r="O6">
        <v>392</v>
      </c>
      <c r="P6">
        <v>418</v>
      </c>
      <c r="Q6">
        <v>444</v>
      </c>
      <c r="R6">
        <v>470</v>
      </c>
      <c r="S6">
        <v>496</v>
      </c>
      <c r="T6">
        <v>522</v>
      </c>
      <c r="U6">
        <v>548</v>
      </c>
      <c r="V6">
        <v>574</v>
      </c>
      <c r="W6">
        <v>600</v>
      </c>
      <c r="X6">
        <v>626</v>
      </c>
      <c r="Y6">
        <v>652</v>
      </c>
      <c r="Z6">
        <v>678</v>
      </c>
      <c r="AA6">
        <v>704</v>
      </c>
      <c r="AB6">
        <v>730</v>
      </c>
      <c r="AC6">
        <v>756</v>
      </c>
      <c r="AD6">
        <v>782</v>
      </c>
      <c r="AE6">
        <v>808</v>
      </c>
      <c r="AF6">
        <v>834</v>
      </c>
      <c r="AG6">
        <v>860</v>
      </c>
      <c r="AH6">
        <v>886</v>
      </c>
      <c r="AI6">
        <v>912</v>
      </c>
      <c r="AJ6">
        <v>938</v>
      </c>
      <c r="AK6">
        <v>964</v>
      </c>
      <c r="AL6">
        <v>990</v>
      </c>
      <c r="AM6">
        <v>1016</v>
      </c>
      <c r="AN6">
        <v>1042</v>
      </c>
      <c r="AO6">
        <v>1068</v>
      </c>
      <c r="AP6">
        <v>1094</v>
      </c>
      <c r="AQ6">
        <v>1120</v>
      </c>
      <c r="AR6">
        <v>1146</v>
      </c>
      <c r="AS6">
        <v>1172</v>
      </c>
      <c r="AT6">
        <v>1198</v>
      </c>
      <c r="AU6">
        <v>1224</v>
      </c>
      <c r="AV6">
        <v>1250</v>
      </c>
      <c r="AW6">
        <v>1276</v>
      </c>
      <c r="AX6">
        <v>1302</v>
      </c>
      <c r="AY6">
        <v>1328</v>
      </c>
      <c r="AZ6">
        <v>1354</v>
      </c>
      <c r="BA6">
        <v>1380</v>
      </c>
      <c r="BB6">
        <v>1406</v>
      </c>
      <c r="BC6">
        <v>1432</v>
      </c>
      <c r="BD6">
        <v>1458</v>
      </c>
      <c r="BE6">
        <v>1484</v>
      </c>
      <c r="BF6">
        <v>1510</v>
      </c>
      <c r="BG6">
        <v>1536</v>
      </c>
      <c r="BH6">
        <v>1562</v>
      </c>
      <c r="BI6">
        <v>1588</v>
      </c>
      <c r="BJ6">
        <v>1614</v>
      </c>
      <c r="BK6">
        <v>1640</v>
      </c>
      <c r="BL6">
        <v>1666</v>
      </c>
      <c r="BM6">
        <v>1692</v>
      </c>
      <c r="BN6">
        <v>1718</v>
      </c>
      <c r="BO6">
        <v>1744</v>
      </c>
      <c r="BP6">
        <v>1770</v>
      </c>
      <c r="BQ6">
        <v>1796</v>
      </c>
      <c r="BR6">
        <v>1822</v>
      </c>
      <c r="BS6">
        <v>1848</v>
      </c>
      <c r="BT6">
        <v>1874</v>
      </c>
      <c r="BU6">
        <v>1900</v>
      </c>
      <c r="BV6">
        <v>1926</v>
      </c>
      <c r="BW6">
        <v>1952</v>
      </c>
      <c r="BX6">
        <v>1978</v>
      </c>
      <c r="BY6">
        <v>2004</v>
      </c>
      <c r="BZ6">
        <v>2030</v>
      </c>
      <c r="CA6">
        <v>2056</v>
      </c>
      <c r="CB6">
        <v>2082</v>
      </c>
      <c r="CC6">
        <v>2108</v>
      </c>
      <c r="CD6">
        <v>2134</v>
      </c>
      <c r="CE6">
        <v>2160</v>
      </c>
      <c r="CF6">
        <v>2186</v>
      </c>
      <c r="CG6">
        <v>2212</v>
      </c>
      <c r="CH6">
        <v>2238</v>
      </c>
      <c r="CI6">
        <v>2264</v>
      </c>
      <c r="CJ6">
        <v>2290</v>
      </c>
      <c r="CK6">
        <v>2316</v>
      </c>
      <c r="CL6">
        <v>2342</v>
      </c>
      <c r="CM6">
        <v>2368</v>
      </c>
      <c r="CN6">
        <v>2394</v>
      </c>
      <c r="CO6">
        <v>2420</v>
      </c>
      <c r="CP6">
        <v>2446</v>
      </c>
      <c r="CQ6">
        <v>2472</v>
      </c>
      <c r="CR6">
        <v>2498</v>
      </c>
      <c r="CS6">
        <v>2524</v>
      </c>
      <c r="CT6">
        <v>2550</v>
      </c>
      <c r="CU6">
        <v>2576</v>
      </c>
      <c r="CV6" t="s">
        <v>64</v>
      </c>
    </row>
    <row r="7" spans="1:100" x14ac:dyDescent="0.25">
      <c r="A7" t="s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0.5</v>
      </c>
      <c r="AZ7">
        <v>1</v>
      </c>
      <c r="BA7">
        <v>1.5</v>
      </c>
      <c r="BB7">
        <v>2</v>
      </c>
      <c r="BC7">
        <v>2.5</v>
      </c>
      <c r="BD7">
        <v>3</v>
      </c>
      <c r="BE7">
        <v>3.5</v>
      </c>
      <c r="BF7">
        <v>4</v>
      </c>
      <c r="BG7">
        <v>4.5</v>
      </c>
      <c r="BH7">
        <v>5</v>
      </c>
      <c r="BI7">
        <v>5.5</v>
      </c>
      <c r="BJ7">
        <v>6</v>
      </c>
      <c r="BK7">
        <v>6.5</v>
      </c>
      <c r="BL7">
        <v>7</v>
      </c>
      <c r="BM7">
        <v>7.5</v>
      </c>
      <c r="BN7">
        <v>8</v>
      </c>
      <c r="BO7">
        <v>8.5</v>
      </c>
      <c r="BP7">
        <v>9</v>
      </c>
      <c r="BQ7">
        <v>9</v>
      </c>
      <c r="BR7">
        <v>9.5</v>
      </c>
      <c r="BS7">
        <v>9.5</v>
      </c>
      <c r="BT7">
        <v>10</v>
      </c>
      <c r="BU7">
        <f>BT7+0.25</f>
        <v>10.25</v>
      </c>
      <c r="BV7">
        <f t="shared" si="1"/>
        <v>10.5</v>
      </c>
      <c r="BW7">
        <f t="shared" si="1"/>
        <v>10.75</v>
      </c>
      <c r="BX7">
        <f t="shared" si="1"/>
        <v>11</v>
      </c>
      <c r="BY7">
        <f t="shared" si="1"/>
        <v>11.25</v>
      </c>
      <c r="BZ7">
        <f t="shared" si="1"/>
        <v>11.5</v>
      </c>
      <c r="CA7">
        <f t="shared" si="1"/>
        <v>11.75</v>
      </c>
      <c r="CB7">
        <f t="shared" si="1"/>
        <v>12</v>
      </c>
      <c r="CC7">
        <f t="shared" si="1"/>
        <v>12.25</v>
      </c>
      <c r="CD7">
        <f t="shared" si="1"/>
        <v>12.5</v>
      </c>
      <c r="CE7">
        <f t="shared" si="1"/>
        <v>12.75</v>
      </c>
      <c r="CF7">
        <f t="shared" si="1"/>
        <v>13</v>
      </c>
      <c r="CG7">
        <f t="shared" si="1"/>
        <v>13.25</v>
      </c>
      <c r="CH7">
        <f t="shared" si="1"/>
        <v>13.5</v>
      </c>
      <c r="CI7">
        <f t="shared" si="1"/>
        <v>13.75</v>
      </c>
      <c r="CJ7">
        <f t="shared" si="1"/>
        <v>14</v>
      </c>
      <c r="CK7">
        <f t="shared" si="1"/>
        <v>14.25</v>
      </c>
      <c r="CL7">
        <f t="shared" si="1"/>
        <v>14.5</v>
      </c>
      <c r="CM7">
        <f t="shared" si="1"/>
        <v>14.75</v>
      </c>
      <c r="CN7">
        <f t="shared" si="1"/>
        <v>15</v>
      </c>
      <c r="CO7">
        <f t="shared" si="1"/>
        <v>15.25</v>
      </c>
      <c r="CP7">
        <f t="shared" si="1"/>
        <v>15.5</v>
      </c>
      <c r="CQ7">
        <f t="shared" si="1"/>
        <v>15.75</v>
      </c>
      <c r="CR7">
        <f t="shared" si="1"/>
        <v>16</v>
      </c>
      <c r="CS7">
        <f t="shared" si="1"/>
        <v>16.25</v>
      </c>
      <c r="CT7">
        <f t="shared" si="1"/>
        <v>16.5</v>
      </c>
      <c r="CU7">
        <f t="shared" si="1"/>
        <v>16.75</v>
      </c>
      <c r="CV7" t="s">
        <v>57</v>
      </c>
    </row>
    <row r="8" spans="1:100" x14ac:dyDescent="0.25">
      <c r="A8" t="s">
        <v>9</v>
      </c>
    </row>
    <row r="9" spans="1:100" x14ac:dyDescent="0.25">
      <c r="A9" t="s">
        <v>10</v>
      </c>
    </row>
    <row r="10" spans="1:100" x14ac:dyDescent="0.25">
      <c r="A10" t="s">
        <v>58</v>
      </c>
    </row>
    <row r="11" spans="1:100" x14ac:dyDescent="0.25">
      <c r="A11" t="s">
        <v>65</v>
      </c>
      <c r="B11">
        <v>20</v>
      </c>
      <c r="C11">
        <v>30</v>
      </c>
      <c r="D11">
        <v>40</v>
      </c>
      <c r="E11">
        <v>50</v>
      </c>
      <c r="F11">
        <v>60</v>
      </c>
      <c r="G11">
        <v>70</v>
      </c>
      <c r="H11">
        <v>80</v>
      </c>
      <c r="I11">
        <v>90</v>
      </c>
      <c r="J11">
        <v>100</v>
      </c>
      <c r="K11">
        <v>110</v>
      </c>
      <c r="L11">
        <v>120</v>
      </c>
      <c r="M11">
        <v>130</v>
      </c>
      <c r="N11">
        <v>140</v>
      </c>
      <c r="O11">
        <v>150</v>
      </c>
      <c r="P11">
        <v>160</v>
      </c>
      <c r="Q11">
        <v>170</v>
      </c>
      <c r="R11">
        <v>180</v>
      </c>
      <c r="S11">
        <v>190</v>
      </c>
      <c r="T11">
        <v>200</v>
      </c>
      <c r="U11">
        <v>210</v>
      </c>
      <c r="V11">
        <v>220</v>
      </c>
      <c r="W11">
        <v>230</v>
      </c>
      <c r="X11">
        <v>240</v>
      </c>
      <c r="Y11">
        <v>250</v>
      </c>
      <c r="Z11">
        <v>260</v>
      </c>
      <c r="AA11">
        <v>270</v>
      </c>
      <c r="AB11">
        <v>280</v>
      </c>
      <c r="AC11">
        <v>290</v>
      </c>
      <c r="AD11">
        <v>300</v>
      </c>
      <c r="AE11">
        <v>310</v>
      </c>
      <c r="AF11">
        <v>320</v>
      </c>
      <c r="AG11">
        <v>330</v>
      </c>
      <c r="AH11">
        <v>340</v>
      </c>
      <c r="AI11">
        <v>350</v>
      </c>
      <c r="AJ11">
        <v>360</v>
      </c>
      <c r="AK11">
        <v>370</v>
      </c>
      <c r="AL11">
        <v>380</v>
      </c>
      <c r="AM11">
        <v>390</v>
      </c>
      <c r="AN11">
        <v>400</v>
      </c>
      <c r="AO11">
        <v>410</v>
      </c>
      <c r="AP11">
        <v>420</v>
      </c>
      <c r="AQ11">
        <v>430</v>
      </c>
      <c r="AR11">
        <v>440</v>
      </c>
      <c r="AS11">
        <v>450</v>
      </c>
      <c r="AT11">
        <v>460</v>
      </c>
      <c r="AU11">
        <v>470</v>
      </c>
      <c r="AV11">
        <v>480</v>
      </c>
      <c r="AW11">
        <v>490</v>
      </c>
      <c r="AX11">
        <v>500</v>
      </c>
      <c r="AY11">
        <v>510</v>
      </c>
      <c r="AZ11">
        <v>520</v>
      </c>
      <c r="BA11">
        <v>530</v>
      </c>
      <c r="BB11">
        <v>540</v>
      </c>
      <c r="BC11">
        <v>550</v>
      </c>
      <c r="BD11">
        <v>560</v>
      </c>
      <c r="BE11">
        <v>570</v>
      </c>
      <c r="BF11">
        <v>580</v>
      </c>
      <c r="BG11">
        <v>590</v>
      </c>
      <c r="BH11">
        <v>600</v>
      </c>
      <c r="BI11">
        <v>610</v>
      </c>
      <c r="BJ11">
        <v>620</v>
      </c>
      <c r="BK11">
        <v>630</v>
      </c>
      <c r="BL11">
        <v>640</v>
      </c>
      <c r="BM11">
        <v>650</v>
      </c>
      <c r="BN11">
        <v>660</v>
      </c>
      <c r="BO11">
        <v>670</v>
      </c>
      <c r="BP11">
        <v>680</v>
      </c>
      <c r="BQ11">
        <v>690</v>
      </c>
      <c r="BR11">
        <v>700</v>
      </c>
      <c r="BS11">
        <v>710</v>
      </c>
      <c r="BT11">
        <v>720</v>
      </c>
      <c r="BU11">
        <v>730</v>
      </c>
      <c r="BV11">
        <v>740</v>
      </c>
      <c r="BW11">
        <v>750</v>
      </c>
      <c r="BX11">
        <v>760</v>
      </c>
      <c r="BY11">
        <v>770</v>
      </c>
      <c r="BZ11">
        <v>780</v>
      </c>
      <c r="CA11">
        <v>790</v>
      </c>
      <c r="CB11">
        <v>800</v>
      </c>
      <c r="CC11">
        <v>810</v>
      </c>
      <c r="CD11">
        <v>820</v>
      </c>
      <c r="CE11">
        <v>830</v>
      </c>
      <c r="CF11">
        <v>840</v>
      </c>
      <c r="CG11">
        <v>850</v>
      </c>
      <c r="CH11">
        <v>860</v>
      </c>
      <c r="CI11">
        <v>870</v>
      </c>
      <c r="CJ11">
        <v>880</v>
      </c>
      <c r="CK11">
        <v>890</v>
      </c>
      <c r="CL11">
        <v>900</v>
      </c>
      <c r="CM11">
        <v>910</v>
      </c>
      <c r="CN11">
        <v>920</v>
      </c>
      <c r="CO11">
        <v>930</v>
      </c>
      <c r="CP11">
        <v>940</v>
      </c>
      <c r="CQ11">
        <v>950</v>
      </c>
      <c r="CR11">
        <v>960</v>
      </c>
      <c r="CS11">
        <v>970</v>
      </c>
      <c r="CT11">
        <v>980</v>
      </c>
      <c r="CU11">
        <v>990</v>
      </c>
      <c r="CV11" t="s">
        <v>66</v>
      </c>
    </row>
    <row r="12" spans="1:100" x14ac:dyDescent="0.25">
      <c r="A12" t="s">
        <v>12</v>
      </c>
    </row>
    <row r="13" spans="1:100" x14ac:dyDescent="0.25">
      <c r="A13" t="s">
        <v>13</v>
      </c>
    </row>
    <row r="14" spans="1:100" x14ac:dyDescent="0.25">
      <c r="A14" t="s">
        <v>14</v>
      </c>
    </row>
    <row r="15" spans="1:100" x14ac:dyDescent="0.25">
      <c r="A15" t="s">
        <v>15</v>
      </c>
    </row>
    <row r="16" spans="1:100" x14ac:dyDescent="0.25">
      <c r="A16" t="s">
        <v>30</v>
      </c>
    </row>
    <row r="17" spans="1:101" x14ac:dyDescent="0.25">
      <c r="A17" t="s">
        <v>17</v>
      </c>
    </row>
    <row r="18" spans="1:101" x14ac:dyDescent="0.25">
      <c r="A18" t="s">
        <v>18</v>
      </c>
    </row>
    <row r="19" spans="1:101" x14ac:dyDescent="0.25">
      <c r="A19" t="s">
        <v>19</v>
      </c>
    </row>
    <row r="20" spans="1:101" x14ac:dyDescent="0.25">
      <c r="A20" t="s">
        <v>20</v>
      </c>
    </row>
    <row r="21" spans="1:101" x14ac:dyDescent="0.25">
      <c r="A21" t="s">
        <v>21</v>
      </c>
    </row>
    <row r="22" spans="1:101" x14ac:dyDescent="0.25">
      <c r="A22" t="s">
        <v>59</v>
      </c>
    </row>
    <row r="23" spans="1:101" x14ac:dyDescent="0.25">
      <c r="A23" t="s">
        <v>22</v>
      </c>
    </row>
    <row r="24" spans="1:101" x14ac:dyDescent="0.25">
      <c r="A24" t="s">
        <v>23</v>
      </c>
    </row>
    <row r="25" spans="1:101" x14ac:dyDescent="0.25">
      <c r="A25" t="s">
        <v>24</v>
      </c>
    </row>
    <row r="26" spans="1:101" x14ac:dyDescent="0.25">
      <c r="A26" t="s">
        <v>67</v>
      </c>
      <c r="B26">
        <v>10</v>
      </c>
      <c r="C26">
        <v>15</v>
      </c>
      <c r="D26">
        <v>20</v>
      </c>
      <c r="E26">
        <v>25</v>
      </c>
      <c r="F26">
        <v>30</v>
      </c>
      <c r="G26">
        <v>35</v>
      </c>
      <c r="H26">
        <v>40</v>
      </c>
      <c r="I26">
        <v>45</v>
      </c>
      <c r="J26">
        <v>50</v>
      </c>
      <c r="K26">
        <v>55</v>
      </c>
      <c r="L26">
        <v>60</v>
      </c>
      <c r="M26">
        <v>65</v>
      </c>
      <c r="N26">
        <v>70</v>
      </c>
      <c r="O26">
        <v>75</v>
      </c>
      <c r="P26">
        <v>80</v>
      </c>
      <c r="Q26">
        <v>85</v>
      </c>
      <c r="R26">
        <v>90</v>
      </c>
      <c r="S26">
        <v>95</v>
      </c>
      <c r="T26">
        <v>100</v>
      </c>
      <c r="U26">
        <v>105</v>
      </c>
      <c r="V26">
        <v>110</v>
      </c>
      <c r="W26">
        <v>115</v>
      </c>
      <c r="X26">
        <v>120</v>
      </c>
      <c r="Y26">
        <v>125</v>
      </c>
      <c r="Z26">
        <v>130</v>
      </c>
      <c r="AA26">
        <v>135</v>
      </c>
      <c r="AB26">
        <v>140</v>
      </c>
      <c r="AC26">
        <v>145</v>
      </c>
      <c r="AD26">
        <v>150</v>
      </c>
      <c r="AE26">
        <v>155</v>
      </c>
      <c r="AF26">
        <v>160</v>
      </c>
      <c r="AG26">
        <v>165</v>
      </c>
      <c r="AH26">
        <v>170</v>
      </c>
      <c r="AI26">
        <v>175</v>
      </c>
      <c r="AJ26">
        <v>180</v>
      </c>
      <c r="AK26">
        <v>185</v>
      </c>
      <c r="AL26">
        <v>190</v>
      </c>
      <c r="AM26">
        <v>195</v>
      </c>
      <c r="AN26">
        <v>200</v>
      </c>
      <c r="AO26">
        <v>205</v>
      </c>
      <c r="AP26">
        <v>210</v>
      </c>
      <c r="AQ26">
        <v>215</v>
      </c>
      <c r="AR26">
        <v>220</v>
      </c>
      <c r="AS26">
        <v>225</v>
      </c>
      <c r="AT26">
        <v>230</v>
      </c>
      <c r="AU26">
        <v>235</v>
      </c>
      <c r="AV26">
        <v>240</v>
      </c>
      <c r="AW26">
        <v>245</v>
      </c>
      <c r="AX26">
        <v>250</v>
      </c>
      <c r="AY26">
        <v>255</v>
      </c>
      <c r="AZ26">
        <v>260</v>
      </c>
      <c r="BA26">
        <v>265</v>
      </c>
      <c r="BB26">
        <v>270</v>
      </c>
      <c r="BC26">
        <v>275</v>
      </c>
      <c r="BD26">
        <v>280</v>
      </c>
      <c r="BE26">
        <v>285</v>
      </c>
      <c r="BF26">
        <v>290</v>
      </c>
      <c r="BG26">
        <v>295</v>
      </c>
      <c r="BH26">
        <v>300</v>
      </c>
      <c r="BI26">
        <v>305</v>
      </c>
      <c r="BJ26">
        <v>310</v>
      </c>
      <c r="BK26">
        <v>315</v>
      </c>
      <c r="BL26">
        <v>320</v>
      </c>
      <c r="BM26">
        <v>325</v>
      </c>
      <c r="BN26">
        <v>330</v>
      </c>
      <c r="BO26">
        <v>335</v>
      </c>
      <c r="BP26">
        <v>340</v>
      </c>
      <c r="BQ26">
        <v>345</v>
      </c>
      <c r="BR26">
        <v>350</v>
      </c>
      <c r="BS26">
        <v>355</v>
      </c>
      <c r="BT26">
        <v>360</v>
      </c>
      <c r="BU26">
        <v>365</v>
      </c>
      <c r="BV26">
        <v>370</v>
      </c>
      <c r="BW26">
        <v>375</v>
      </c>
      <c r="BX26">
        <v>380</v>
      </c>
      <c r="BY26">
        <v>385</v>
      </c>
      <c r="BZ26">
        <v>390</v>
      </c>
      <c r="CA26">
        <v>395</v>
      </c>
      <c r="CB26">
        <v>400</v>
      </c>
      <c r="CC26">
        <v>405</v>
      </c>
      <c r="CD26">
        <v>410</v>
      </c>
      <c r="CE26">
        <v>415</v>
      </c>
      <c r="CF26">
        <v>420</v>
      </c>
      <c r="CG26">
        <v>425</v>
      </c>
      <c r="CH26">
        <v>430</v>
      </c>
      <c r="CI26">
        <v>435</v>
      </c>
      <c r="CJ26">
        <v>440</v>
      </c>
      <c r="CK26">
        <v>445</v>
      </c>
      <c r="CL26">
        <v>450</v>
      </c>
      <c r="CM26">
        <v>455</v>
      </c>
      <c r="CN26">
        <v>460</v>
      </c>
      <c r="CO26">
        <v>465</v>
      </c>
      <c r="CP26">
        <v>470</v>
      </c>
      <c r="CQ26">
        <v>475</v>
      </c>
      <c r="CR26">
        <v>480</v>
      </c>
      <c r="CS26">
        <v>485</v>
      </c>
      <c r="CT26">
        <v>490</v>
      </c>
      <c r="CU26">
        <v>495</v>
      </c>
      <c r="CV26" t="s">
        <v>68</v>
      </c>
    </row>
    <row r="27" spans="1:101" x14ac:dyDescent="0.25">
      <c r="A27" t="s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1.25</v>
      </c>
      <c r="AZ27">
        <v>2.5</v>
      </c>
      <c r="BA27">
        <v>3.75</v>
      </c>
      <c r="BB27">
        <v>5</v>
      </c>
      <c r="BC27">
        <v>6.25</v>
      </c>
      <c r="BD27">
        <v>7.5</v>
      </c>
      <c r="BE27">
        <v>8.75</v>
      </c>
      <c r="BF27">
        <v>10</v>
      </c>
      <c r="BG27">
        <v>11.25</v>
      </c>
      <c r="BH27">
        <v>12.5</v>
      </c>
      <c r="BI27">
        <v>13.75</v>
      </c>
      <c r="BJ27">
        <v>15</v>
      </c>
      <c r="BK27">
        <v>16.25</v>
      </c>
      <c r="BL27">
        <v>17.5</v>
      </c>
      <c r="BM27">
        <v>18.75</v>
      </c>
      <c r="BN27">
        <v>20</v>
      </c>
      <c r="BO27">
        <v>21.25</v>
      </c>
      <c r="BP27">
        <v>22.5</v>
      </c>
      <c r="BQ27">
        <v>22.5</v>
      </c>
      <c r="BR27">
        <v>23.75</v>
      </c>
      <c r="BS27">
        <v>23.75</v>
      </c>
      <c r="BT27">
        <v>25</v>
      </c>
      <c r="BU27">
        <f>BT27+0.125</f>
        <v>25.125</v>
      </c>
      <c r="BV27">
        <f t="shared" ref="BV27:CU27" si="2">BU27+0.125</f>
        <v>25.25</v>
      </c>
      <c r="BW27">
        <f t="shared" si="2"/>
        <v>25.375</v>
      </c>
      <c r="BX27">
        <f t="shared" si="2"/>
        <v>25.5</v>
      </c>
      <c r="BY27">
        <f t="shared" si="2"/>
        <v>25.625</v>
      </c>
      <c r="BZ27">
        <f t="shared" si="2"/>
        <v>25.75</v>
      </c>
      <c r="CA27">
        <f t="shared" si="2"/>
        <v>25.875</v>
      </c>
      <c r="CB27">
        <f t="shared" si="2"/>
        <v>26</v>
      </c>
      <c r="CC27">
        <f t="shared" si="2"/>
        <v>26.125</v>
      </c>
      <c r="CD27">
        <f t="shared" si="2"/>
        <v>26.25</v>
      </c>
      <c r="CE27">
        <f t="shared" si="2"/>
        <v>26.375</v>
      </c>
      <c r="CF27">
        <f t="shared" si="2"/>
        <v>26.5</v>
      </c>
      <c r="CG27">
        <f t="shared" si="2"/>
        <v>26.625</v>
      </c>
      <c r="CH27">
        <f t="shared" si="2"/>
        <v>26.75</v>
      </c>
      <c r="CI27">
        <f t="shared" si="2"/>
        <v>26.875</v>
      </c>
      <c r="CJ27">
        <f t="shared" si="2"/>
        <v>27</v>
      </c>
      <c r="CK27">
        <f t="shared" si="2"/>
        <v>27.125</v>
      </c>
      <c r="CL27">
        <f t="shared" si="2"/>
        <v>27.25</v>
      </c>
      <c r="CM27">
        <f t="shared" si="2"/>
        <v>27.375</v>
      </c>
      <c r="CN27">
        <f t="shared" si="2"/>
        <v>27.5</v>
      </c>
      <c r="CO27">
        <f t="shared" si="2"/>
        <v>27.625</v>
      </c>
      <c r="CP27">
        <f t="shared" si="2"/>
        <v>27.75</v>
      </c>
      <c r="CQ27">
        <f t="shared" si="2"/>
        <v>27.875</v>
      </c>
      <c r="CR27">
        <f t="shared" si="2"/>
        <v>28</v>
      </c>
      <c r="CS27">
        <f t="shared" si="2"/>
        <v>28.125</v>
      </c>
      <c r="CT27">
        <f t="shared" si="2"/>
        <v>28.25</v>
      </c>
      <c r="CU27">
        <f t="shared" si="2"/>
        <v>28.375</v>
      </c>
      <c r="CV27" t="s">
        <v>70</v>
      </c>
    </row>
    <row r="29" spans="1:101" x14ac:dyDescent="0.25">
      <c r="B29">
        <v>1</v>
      </c>
      <c r="C29" s="1">
        <f>B29+1</f>
        <v>2</v>
      </c>
      <c r="D29" s="1">
        <f t="shared" ref="D29:BO29" si="3">C29+1</f>
        <v>3</v>
      </c>
      <c r="E29" s="1">
        <f t="shared" si="3"/>
        <v>4</v>
      </c>
      <c r="F29" s="1">
        <f t="shared" si="3"/>
        <v>5</v>
      </c>
      <c r="G29" s="1">
        <f t="shared" si="3"/>
        <v>6</v>
      </c>
      <c r="H29" s="1">
        <f t="shared" si="3"/>
        <v>7</v>
      </c>
      <c r="I29" s="1">
        <f t="shared" si="3"/>
        <v>8</v>
      </c>
      <c r="J29" s="1">
        <f t="shared" si="3"/>
        <v>9</v>
      </c>
      <c r="K29" s="1">
        <f t="shared" si="3"/>
        <v>10</v>
      </c>
      <c r="L29" s="1">
        <f t="shared" si="3"/>
        <v>11</v>
      </c>
      <c r="M29" s="1">
        <f t="shared" si="3"/>
        <v>12</v>
      </c>
      <c r="N29" s="1">
        <f t="shared" si="3"/>
        <v>13</v>
      </c>
      <c r="O29" s="1">
        <f t="shared" si="3"/>
        <v>14</v>
      </c>
      <c r="P29" s="1">
        <f t="shared" si="3"/>
        <v>15</v>
      </c>
      <c r="Q29" s="1">
        <f t="shared" si="3"/>
        <v>16</v>
      </c>
      <c r="R29" s="1">
        <f t="shared" si="3"/>
        <v>17</v>
      </c>
      <c r="S29" s="1">
        <f t="shared" si="3"/>
        <v>18</v>
      </c>
      <c r="T29" s="1">
        <f t="shared" si="3"/>
        <v>19</v>
      </c>
      <c r="U29" s="1">
        <f t="shared" si="3"/>
        <v>20</v>
      </c>
      <c r="V29" s="1">
        <f t="shared" si="3"/>
        <v>21</v>
      </c>
      <c r="W29" s="1">
        <f t="shared" si="3"/>
        <v>22</v>
      </c>
      <c r="X29" s="1">
        <f t="shared" si="3"/>
        <v>23</v>
      </c>
      <c r="Y29" s="1">
        <f t="shared" si="3"/>
        <v>24</v>
      </c>
      <c r="Z29" s="1">
        <f t="shared" si="3"/>
        <v>25</v>
      </c>
      <c r="AA29" s="1">
        <f t="shared" si="3"/>
        <v>26</v>
      </c>
      <c r="AB29" s="1">
        <f t="shared" si="3"/>
        <v>27</v>
      </c>
      <c r="AC29" s="1">
        <f t="shared" si="3"/>
        <v>28</v>
      </c>
      <c r="AD29" s="1">
        <f t="shared" si="3"/>
        <v>29</v>
      </c>
      <c r="AE29" s="1">
        <f t="shared" si="3"/>
        <v>30</v>
      </c>
      <c r="AF29" s="1">
        <f t="shared" si="3"/>
        <v>31</v>
      </c>
      <c r="AG29" s="1">
        <f t="shared" si="3"/>
        <v>32</v>
      </c>
      <c r="AH29" s="1">
        <f t="shared" si="3"/>
        <v>33</v>
      </c>
      <c r="AI29" s="1">
        <f t="shared" si="3"/>
        <v>34</v>
      </c>
      <c r="AJ29" s="1">
        <f t="shared" si="3"/>
        <v>35</v>
      </c>
      <c r="AK29" s="1">
        <f t="shared" si="3"/>
        <v>36</v>
      </c>
      <c r="AL29" s="1">
        <f t="shared" si="3"/>
        <v>37</v>
      </c>
      <c r="AM29" s="1">
        <f t="shared" si="3"/>
        <v>38</v>
      </c>
      <c r="AN29" s="1">
        <f t="shared" si="3"/>
        <v>39</v>
      </c>
      <c r="AO29" s="1">
        <f t="shared" si="3"/>
        <v>40</v>
      </c>
      <c r="AP29" s="1">
        <f t="shared" si="3"/>
        <v>41</v>
      </c>
      <c r="AQ29" s="1">
        <f t="shared" si="3"/>
        <v>42</v>
      </c>
      <c r="AR29" s="1">
        <f t="shared" si="3"/>
        <v>43</v>
      </c>
      <c r="AS29" s="1">
        <f t="shared" si="3"/>
        <v>44</v>
      </c>
      <c r="AT29" s="1">
        <f t="shared" si="3"/>
        <v>45</v>
      </c>
      <c r="AU29" s="1">
        <f t="shared" si="3"/>
        <v>46</v>
      </c>
      <c r="AV29" s="1">
        <f t="shared" si="3"/>
        <v>47</v>
      </c>
      <c r="AW29" s="1">
        <f t="shared" si="3"/>
        <v>48</v>
      </c>
      <c r="AX29" s="1">
        <f t="shared" si="3"/>
        <v>49</v>
      </c>
      <c r="AY29" s="1">
        <f t="shared" si="3"/>
        <v>50</v>
      </c>
      <c r="AZ29" s="1">
        <f t="shared" si="3"/>
        <v>51</v>
      </c>
      <c r="BA29" s="1">
        <f t="shared" si="3"/>
        <v>52</v>
      </c>
      <c r="BB29" s="1">
        <f t="shared" si="3"/>
        <v>53</v>
      </c>
      <c r="BC29" s="1">
        <f t="shared" si="3"/>
        <v>54</v>
      </c>
      <c r="BD29" s="1">
        <f t="shared" si="3"/>
        <v>55</v>
      </c>
      <c r="BE29" s="1">
        <f t="shared" si="3"/>
        <v>56</v>
      </c>
      <c r="BF29" s="1">
        <f t="shared" si="3"/>
        <v>57</v>
      </c>
      <c r="BG29" s="1">
        <f t="shared" si="3"/>
        <v>58</v>
      </c>
      <c r="BH29" s="1">
        <f t="shared" si="3"/>
        <v>59</v>
      </c>
      <c r="BI29" s="1">
        <f t="shared" si="3"/>
        <v>60</v>
      </c>
      <c r="BJ29" s="1">
        <f t="shared" si="3"/>
        <v>61</v>
      </c>
      <c r="BK29" s="1">
        <f t="shared" si="3"/>
        <v>62</v>
      </c>
      <c r="BL29" s="1">
        <f t="shared" si="3"/>
        <v>63</v>
      </c>
      <c r="BM29" s="1">
        <f t="shared" si="3"/>
        <v>64</v>
      </c>
      <c r="BN29" s="1">
        <f t="shared" si="3"/>
        <v>65</v>
      </c>
      <c r="BO29" s="1">
        <f t="shared" si="3"/>
        <v>66</v>
      </c>
      <c r="BP29" s="1">
        <f t="shared" ref="BP29:CV29" si="4">BO29+1</f>
        <v>67</v>
      </c>
      <c r="BQ29" s="1">
        <f t="shared" si="4"/>
        <v>68</v>
      </c>
      <c r="BR29" s="1">
        <f t="shared" si="4"/>
        <v>69</v>
      </c>
      <c r="BS29" s="1">
        <f t="shared" si="4"/>
        <v>70</v>
      </c>
      <c r="BT29" s="1">
        <f t="shared" si="4"/>
        <v>71</v>
      </c>
      <c r="BU29" s="1">
        <f t="shared" si="4"/>
        <v>72</v>
      </c>
      <c r="BV29" s="1">
        <f t="shared" si="4"/>
        <v>73</v>
      </c>
      <c r="BW29" s="1">
        <f t="shared" si="4"/>
        <v>74</v>
      </c>
      <c r="BX29" s="1">
        <f t="shared" si="4"/>
        <v>75</v>
      </c>
      <c r="BY29" s="1">
        <f t="shared" si="4"/>
        <v>76</v>
      </c>
      <c r="BZ29" s="1">
        <f t="shared" si="4"/>
        <v>77</v>
      </c>
      <c r="CA29" s="1">
        <f t="shared" si="4"/>
        <v>78</v>
      </c>
      <c r="CB29" s="1">
        <f t="shared" si="4"/>
        <v>79</v>
      </c>
      <c r="CC29" s="1">
        <f t="shared" si="4"/>
        <v>80</v>
      </c>
      <c r="CD29" s="1">
        <f t="shared" si="4"/>
        <v>81</v>
      </c>
      <c r="CE29" s="1">
        <f t="shared" si="4"/>
        <v>82</v>
      </c>
      <c r="CF29" s="1">
        <f t="shared" si="4"/>
        <v>83</v>
      </c>
      <c r="CG29" s="1">
        <f t="shared" si="4"/>
        <v>84</v>
      </c>
      <c r="CH29" s="1">
        <f t="shared" si="4"/>
        <v>85</v>
      </c>
      <c r="CI29" s="1">
        <f t="shared" si="4"/>
        <v>86</v>
      </c>
      <c r="CJ29" s="1">
        <f t="shared" si="4"/>
        <v>87</v>
      </c>
      <c r="CK29" s="1">
        <f t="shared" si="4"/>
        <v>88</v>
      </c>
      <c r="CL29" s="1">
        <f t="shared" si="4"/>
        <v>89</v>
      </c>
      <c r="CM29" s="1">
        <f t="shared" si="4"/>
        <v>90</v>
      </c>
      <c r="CN29" s="1">
        <f t="shared" si="4"/>
        <v>91</v>
      </c>
      <c r="CO29" s="1">
        <f t="shared" si="4"/>
        <v>92</v>
      </c>
      <c r="CP29" s="1">
        <f t="shared" si="4"/>
        <v>93</v>
      </c>
      <c r="CQ29" s="1">
        <f t="shared" si="4"/>
        <v>94</v>
      </c>
      <c r="CR29" s="1">
        <f t="shared" si="4"/>
        <v>95</v>
      </c>
      <c r="CS29" s="1">
        <f t="shared" si="4"/>
        <v>96</v>
      </c>
      <c r="CT29" s="1">
        <f t="shared" si="4"/>
        <v>97</v>
      </c>
      <c r="CU29" s="1">
        <f t="shared" si="4"/>
        <v>98</v>
      </c>
      <c r="CV29" s="1">
        <f t="shared" si="4"/>
        <v>99</v>
      </c>
      <c r="CW2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26"/>
  <sheetViews>
    <sheetView workbookViewId="0">
      <selection activeCell="CV26" sqref="A1:CV26"/>
    </sheetView>
  </sheetViews>
  <sheetFormatPr defaultRowHeight="15" x14ac:dyDescent="0.25"/>
  <sheetData>
    <row r="1" spans="1:100" x14ac:dyDescent="0.25">
      <c r="A1" t="s">
        <v>71</v>
      </c>
      <c r="B1">
        <v>7</v>
      </c>
      <c r="C1">
        <v>11</v>
      </c>
      <c r="D1">
        <v>14</v>
      </c>
      <c r="E1">
        <v>18</v>
      </c>
      <c r="F1">
        <v>21</v>
      </c>
      <c r="G1">
        <v>25</v>
      </c>
      <c r="H1">
        <v>28</v>
      </c>
      <c r="I1">
        <v>32</v>
      </c>
      <c r="J1">
        <v>35</v>
      </c>
      <c r="K1">
        <v>39</v>
      </c>
      <c r="L1">
        <v>42</v>
      </c>
      <c r="M1">
        <v>46</v>
      </c>
      <c r="N1">
        <v>49</v>
      </c>
      <c r="O1">
        <v>53</v>
      </c>
      <c r="P1">
        <v>56</v>
      </c>
      <c r="Q1">
        <v>60</v>
      </c>
      <c r="R1">
        <v>63</v>
      </c>
      <c r="S1">
        <v>67</v>
      </c>
      <c r="T1">
        <v>70</v>
      </c>
      <c r="U1">
        <v>74</v>
      </c>
      <c r="V1">
        <v>77</v>
      </c>
      <c r="W1">
        <v>81</v>
      </c>
      <c r="X1">
        <v>84</v>
      </c>
      <c r="Y1">
        <v>88</v>
      </c>
      <c r="Z1">
        <v>91</v>
      </c>
      <c r="AA1">
        <v>95</v>
      </c>
      <c r="AB1">
        <v>98</v>
      </c>
      <c r="AC1">
        <v>102</v>
      </c>
      <c r="AD1">
        <v>105</v>
      </c>
      <c r="AE1">
        <v>109</v>
      </c>
      <c r="AF1">
        <v>112</v>
      </c>
      <c r="AG1">
        <v>116</v>
      </c>
      <c r="AH1">
        <v>119</v>
      </c>
      <c r="AI1">
        <v>123</v>
      </c>
      <c r="AJ1">
        <v>126</v>
      </c>
      <c r="AK1">
        <v>130</v>
      </c>
      <c r="AL1">
        <v>133</v>
      </c>
      <c r="AM1">
        <v>137</v>
      </c>
      <c r="AN1">
        <v>140</v>
      </c>
      <c r="AO1">
        <v>144</v>
      </c>
      <c r="AP1">
        <v>147</v>
      </c>
      <c r="AQ1">
        <v>151</v>
      </c>
      <c r="AR1">
        <v>154</v>
      </c>
      <c r="AS1">
        <v>158</v>
      </c>
      <c r="AT1">
        <v>161</v>
      </c>
      <c r="AU1">
        <v>165</v>
      </c>
      <c r="AV1">
        <v>168</v>
      </c>
      <c r="AW1">
        <v>172</v>
      </c>
      <c r="AX1">
        <v>175</v>
      </c>
      <c r="AY1">
        <v>179</v>
      </c>
      <c r="AZ1">
        <v>182</v>
      </c>
      <c r="BA1">
        <v>186</v>
      </c>
      <c r="BB1">
        <v>189</v>
      </c>
      <c r="BC1">
        <v>193</v>
      </c>
      <c r="BD1">
        <v>196</v>
      </c>
      <c r="BE1">
        <v>200</v>
      </c>
      <c r="BF1">
        <v>203</v>
      </c>
      <c r="BG1">
        <v>207</v>
      </c>
      <c r="BH1">
        <v>210</v>
      </c>
      <c r="BI1">
        <v>214</v>
      </c>
      <c r="BJ1">
        <v>217</v>
      </c>
      <c r="BK1">
        <v>221</v>
      </c>
      <c r="BL1">
        <v>224</v>
      </c>
      <c r="BM1">
        <v>228</v>
      </c>
      <c r="BN1">
        <v>231</v>
      </c>
      <c r="BO1">
        <v>235</v>
      </c>
      <c r="BP1">
        <v>238</v>
      </c>
      <c r="BQ1">
        <v>242</v>
      </c>
      <c r="BR1">
        <v>245</v>
      </c>
      <c r="BS1">
        <v>249</v>
      </c>
      <c r="BT1">
        <v>252</v>
      </c>
      <c r="BU1">
        <v>256</v>
      </c>
      <c r="BV1">
        <v>259</v>
      </c>
      <c r="BW1">
        <v>263</v>
      </c>
      <c r="BX1">
        <v>266</v>
      </c>
      <c r="BY1">
        <v>270</v>
      </c>
      <c r="BZ1">
        <v>273</v>
      </c>
      <c r="CA1">
        <v>277</v>
      </c>
      <c r="CB1">
        <v>280</v>
      </c>
      <c r="CC1">
        <v>284</v>
      </c>
      <c r="CD1">
        <v>287</v>
      </c>
      <c r="CE1">
        <v>291</v>
      </c>
      <c r="CF1">
        <v>294</v>
      </c>
      <c r="CG1">
        <v>298</v>
      </c>
      <c r="CH1">
        <v>301</v>
      </c>
      <c r="CI1">
        <v>305</v>
      </c>
      <c r="CJ1">
        <v>308</v>
      </c>
      <c r="CK1">
        <v>312</v>
      </c>
      <c r="CL1">
        <v>315</v>
      </c>
      <c r="CM1">
        <v>319</v>
      </c>
      <c r="CN1">
        <v>322</v>
      </c>
      <c r="CO1">
        <v>326</v>
      </c>
      <c r="CP1">
        <v>329</v>
      </c>
      <c r="CQ1">
        <v>333</v>
      </c>
      <c r="CR1">
        <v>336</v>
      </c>
      <c r="CS1">
        <v>340</v>
      </c>
      <c r="CT1">
        <v>343</v>
      </c>
      <c r="CU1">
        <v>347</v>
      </c>
      <c r="CV1" t="s">
        <v>61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2</v>
      </c>
      <c r="BA2">
        <v>3</v>
      </c>
      <c r="BB2">
        <v>4</v>
      </c>
      <c r="BC2">
        <v>5</v>
      </c>
      <c r="BD2">
        <v>6</v>
      </c>
      <c r="BE2">
        <v>7</v>
      </c>
      <c r="BF2">
        <v>8</v>
      </c>
      <c r="BG2">
        <v>9</v>
      </c>
      <c r="BH2">
        <v>10</v>
      </c>
      <c r="BI2">
        <v>11</v>
      </c>
      <c r="BJ2">
        <v>12</v>
      </c>
      <c r="BK2">
        <v>13</v>
      </c>
      <c r="BL2">
        <v>14</v>
      </c>
      <c r="BM2">
        <v>15</v>
      </c>
      <c r="BN2">
        <v>16</v>
      </c>
      <c r="BO2">
        <v>17</v>
      </c>
      <c r="BP2">
        <v>18</v>
      </c>
      <c r="BQ2">
        <v>18</v>
      </c>
      <c r="BR2">
        <v>19</v>
      </c>
      <c r="BS2">
        <v>19</v>
      </c>
      <c r="BT2">
        <v>20</v>
      </c>
      <c r="BU2">
        <f>BT2+0.5</f>
        <v>20.5</v>
      </c>
      <c r="BV2">
        <f t="shared" ref="BV2:CU2" si="0">BU2+0.5</f>
        <v>21</v>
      </c>
      <c r="BW2">
        <f t="shared" si="0"/>
        <v>21.5</v>
      </c>
      <c r="BX2">
        <f t="shared" si="0"/>
        <v>22</v>
      </c>
      <c r="BY2">
        <f t="shared" si="0"/>
        <v>22.5</v>
      </c>
      <c r="BZ2">
        <f t="shared" si="0"/>
        <v>23</v>
      </c>
      <c r="CA2">
        <f t="shared" si="0"/>
        <v>23.5</v>
      </c>
      <c r="CB2">
        <f t="shared" si="0"/>
        <v>24</v>
      </c>
      <c r="CC2">
        <f t="shared" si="0"/>
        <v>24.5</v>
      </c>
      <c r="CD2">
        <f t="shared" si="0"/>
        <v>25</v>
      </c>
      <c r="CE2">
        <f t="shared" si="0"/>
        <v>25.5</v>
      </c>
      <c r="CF2">
        <f t="shared" si="0"/>
        <v>26</v>
      </c>
      <c r="CG2">
        <f t="shared" si="0"/>
        <v>26.5</v>
      </c>
      <c r="CH2">
        <f t="shared" si="0"/>
        <v>27</v>
      </c>
      <c r="CI2">
        <f t="shared" si="0"/>
        <v>27.5</v>
      </c>
      <c r="CJ2">
        <f t="shared" si="0"/>
        <v>28</v>
      </c>
      <c r="CK2">
        <f t="shared" si="0"/>
        <v>28.5</v>
      </c>
      <c r="CL2">
        <f t="shared" si="0"/>
        <v>29</v>
      </c>
      <c r="CM2">
        <f t="shared" si="0"/>
        <v>29.5</v>
      </c>
      <c r="CN2">
        <f t="shared" si="0"/>
        <v>30</v>
      </c>
      <c r="CO2">
        <f t="shared" si="0"/>
        <v>30.5</v>
      </c>
      <c r="CP2">
        <f t="shared" si="0"/>
        <v>31</v>
      </c>
      <c r="CQ2">
        <f t="shared" si="0"/>
        <v>31.5</v>
      </c>
      <c r="CR2">
        <f t="shared" si="0"/>
        <v>32</v>
      </c>
      <c r="CS2">
        <f t="shared" si="0"/>
        <v>32.5</v>
      </c>
      <c r="CT2">
        <f t="shared" si="0"/>
        <v>33</v>
      </c>
      <c r="CU2">
        <f t="shared" si="0"/>
        <v>33.5</v>
      </c>
      <c r="CV2" t="s">
        <v>77</v>
      </c>
    </row>
    <row r="3" spans="1:100" x14ac:dyDescent="0.25">
      <c r="A3" t="s">
        <v>51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72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>BT4+0.25</f>
        <v>10.25</v>
      </c>
      <c r="BV4">
        <f t="shared" ref="BV4:CU4" si="1">BU4+0.25</f>
        <v>10.5</v>
      </c>
      <c r="BW4">
        <f t="shared" si="1"/>
        <v>10.75</v>
      </c>
      <c r="BX4">
        <f t="shared" si="1"/>
        <v>11</v>
      </c>
      <c r="BY4">
        <f t="shared" si="1"/>
        <v>11.25</v>
      </c>
      <c r="BZ4">
        <f t="shared" si="1"/>
        <v>11.5</v>
      </c>
      <c r="CA4">
        <f t="shared" si="1"/>
        <v>11.75</v>
      </c>
      <c r="CB4">
        <f t="shared" si="1"/>
        <v>12</v>
      </c>
      <c r="CC4">
        <f t="shared" si="1"/>
        <v>12.25</v>
      </c>
      <c r="CD4">
        <f t="shared" si="1"/>
        <v>12.5</v>
      </c>
      <c r="CE4">
        <f t="shared" si="1"/>
        <v>12.75</v>
      </c>
      <c r="CF4">
        <f t="shared" si="1"/>
        <v>13</v>
      </c>
      <c r="CG4">
        <f t="shared" si="1"/>
        <v>13.25</v>
      </c>
      <c r="CH4">
        <f t="shared" si="1"/>
        <v>13.5</v>
      </c>
      <c r="CI4">
        <f t="shared" si="1"/>
        <v>13.75</v>
      </c>
      <c r="CJ4">
        <f t="shared" si="1"/>
        <v>14</v>
      </c>
      <c r="CK4">
        <f t="shared" si="1"/>
        <v>14.25</v>
      </c>
      <c r="CL4">
        <f t="shared" si="1"/>
        <v>14.5</v>
      </c>
      <c r="CM4">
        <f t="shared" si="1"/>
        <v>14.75</v>
      </c>
      <c r="CN4">
        <f t="shared" si="1"/>
        <v>15</v>
      </c>
      <c r="CO4">
        <f t="shared" si="1"/>
        <v>15.25</v>
      </c>
      <c r="CP4">
        <f t="shared" si="1"/>
        <v>15.5</v>
      </c>
      <c r="CQ4">
        <f t="shared" si="1"/>
        <v>15.75</v>
      </c>
      <c r="CR4">
        <f t="shared" si="1"/>
        <v>16</v>
      </c>
      <c r="CS4">
        <f t="shared" si="1"/>
        <v>16.25</v>
      </c>
      <c r="CT4">
        <f t="shared" si="1"/>
        <v>16.5</v>
      </c>
      <c r="CU4">
        <f t="shared" si="1"/>
        <v>16.75</v>
      </c>
      <c r="CV4" t="s">
        <v>57</v>
      </c>
    </row>
    <row r="5" spans="1:100" x14ac:dyDescent="0.25">
      <c r="A5" t="s">
        <v>73</v>
      </c>
      <c r="B5">
        <v>48</v>
      </c>
      <c r="C5">
        <v>72</v>
      </c>
      <c r="D5">
        <v>96</v>
      </c>
      <c r="E5">
        <v>120</v>
      </c>
      <c r="F5">
        <v>144</v>
      </c>
      <c r="G5">
        <v>168</v>
      </c>
      <c r="H5">
        <v>192</v>
      </c>
      <c r="I5">
        <v>216</v>
      </c>
      <c r="J5">
        <v>240</v>
      </c>
      <c r="K5">
        <v>264</v>
      </c>
      <c r="L5">
        <v>288</v>
      </c>
      <c r="M5">
        <v>312</v>
      </c>
      <c r="N5">
        <v>336</v>
      </c>
      <c r="O5">
        <v>360</v>
      </c>
      <c r="P5">
        <v>384</v>
      </c>
      <c r="Q5">
        <v>408</v>
      </c>
      <c r="R5">
        <v>432</v>
      </c>
      <c r="S5">
        <v>456</v>
      </c>
      <c r="T5">
        <v>480</v>
      </c>
      <c r="U5">
        <v>504</v>
      </c>
      <c r="V5">
        <v>528</v>
      </c>
      <c r="W5">
        <v>552</v>
      </c>
      <c r="X5">
        <v>576</v>
      </c>
      <c r="Y5">
        <v>600</v>
      </c>
      <c r="Z5">
        <v>624</v>
      </c>
      <c r="AA5">
        <v>648</v>
      </c>
      <c r="AB5">
        <v>672</v>
      </c>
      <c r="AC5">
        <v>696</v>
      </c>
      <c r="AD5">
        <v>720</v>
      </c>
      <c r="AE5">
        <v>744</v>
      </c>
      <c r="AF5">
        <v>768</v>
      </c>
      <c r="AG5">
        <v>792</v>
      </c>
      <c r="AH5">
        <v>816</v>
      </c>
      <c r="AI5">
        <v>840</v>
      </c>
      <c r="AJ5">
        <v>864</v>
      </c>
      <c r="AK5">
        <v>888</v>
      </c>
      <c r="AL5">
        <v>912</v>
      </c>
      <c r="AM5">
        <v>936</v>
      </c>
      <c r="AN5">
        <v>960</v>
      </c>
      <c r="AO5">
        <v>984</v>
      </c>
      <c r="AP5">
        <v>1008</v>
      </c>
      <c r="AQ5">
        <v>1032</v>
      </c>
      <c r="AR5">
        <v>1056</v>
      </c>
      <c r="AS5">
        <v>1080</v>
      </c>
      <c r="AT5">
        <v>1104</v>
      </c>
      <c r="AU5">
        <v>1128</v>
      </c>
      <c r="AV5">
        <v>1152</v>
      </c>
      <c r="AW5">
        <v>1176</v>
      </c>
      <c r="AX5">
        <v>1200</v>
      </c>
      <c r="AY5">
        <v>1224</v>
      </c>
      <c r="AZ5">
        <v>1248</v>
      </c>
      <c r="BA5">
        <v>1272</v>
      </c>
      <c r="BB5">
        <v>1296</v>
      </c>
      <c r="BC5">
        <v>1320</v>
      </c>
      <c r="BD5">
        <v>1344</v>
      </c>
      <c r="BE5">
        <v>1368</v>
      </c>
      <c r="BF5">
        <v>1392</v>
      </c>
      <c r="BG5">
        <v>1416</v>
      </c>
      <c r="BH5">
        <v>1440</v>
      </c>
      <c r="BI5">
        <v>1464</v>
      </c>
      <c r="BJ5">
        <v>1488</v>
      </c>
      <c r="BK5">
        <v>1512</v>
      </c>
      <c r="BL5">
        <v>1536</v>
      </c>
      <c r="BM5">
        <v>1560</v>
      </c>
      <c r="BN5">
        <v>1584</v>
      </c>
      <c r="BO5">
        <v>1608</v>
      </c>
      <c r="BP5">
        <v>1632</v>
      </c>
      <c r="BQ5">
        <v>1656</v>
      </c>
      <c r="BR5">
        <v>1680</v>
      </c>
      <c r="BS5">
        <v>1704</v>
      </c>
      <c r="BT5">
        <v>1728</v>
      </c>
      <c r="BU5">
        <v>1752</v>
      </c>
      <c r="BV5">
        <v>1776</v>
      </c>
      <c r="BW5">
        <v>1800</v>
      </c>
      <c r="BX5">
        <v>1824</v>
      </c>
      <c r="BY5">
        <v>1848</v>
      </c>
      <c r="BZ5">
        <v>1872</v>
      </c>
      <c r="CA5">
        <v>1896</v>
      </c>
      <c r="CB5">
        <v>1920</v>
      </c>
      <c r="CC5">
        <v>1944</v>
      </c>
      <c r="CD5">
        <v>1968</v>
      </c>
      <c r="CE5">
        <v>1992</v>
      </c>
      <c r="CF5">
        <v>2016</v>
      </c>
      <c r="CG5">
        <v>2040</v>
      </c>
      <c r="CH5">
        <v>2064</v>
      </c>
      <c r="CI5">
        <v>2088</v>
      </c>
      <c r="CJ5">
        <v>2112</v>
      </c>
      <c r="CK5">
        <v>2136</v>
      </c>
      <c r="CL5">
        <v>2160</v>
      </c>
      <c r="CM5">
        <v>2184</v>
      </c>
      <c r="CN5">
        <v>2208</v>
      </c>
      <c r="CO5">
        <v>2232</v>
      </c>
      <c r="CP5">
        <v>2256</v>
      </c>
      <c r="CQ5">
        <v>2280</v>
      </c>
      <c r="CR5">
        <v>2304</v>
      </c>
      <c r="CS5">
        <v>2328</v>
      </c>
      <c r="CT5">
        <v>2352</v>
      </c>
      <c r="CU5">
        <v>2376</v>
      </c>
      <c r="CV5" t="s">
        <v>74</v>
      </c>
    </row>
    <row r="6" spans="1:100" x14ac:dyDescent="0.25">
      <c r="A6" t="s">
        <v>47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58</v>
      </c>
    </row>
    <row r="10" spans="1:100" x14ac:dyDescent="0.25">
      <c r="A10" t="s">
        <v>75</v>
      </c>
      <c r="B10">
        <v>28</v>
      </c>
      <c r="C10">
        <v>42</v>
      </c>
      <c r="D10">
        <v>56</v>
      </c>
      <c r="E10">
        <v>70</v>
      </c>
      <c r="F10">
        <v>84</v>
      </c>
      <c r="G10">
        <v>98</v>
      </c>
      <c r="H10">
        <v>112</v>
      </c>
      <c r="I10">
        <v>126</v>
      </c>
      <c r="J10">
        <v>140</v>
      </c>
      <c r="K10">
        <v>154</v>
      </c>
      <c r="L10">
        <v>168</v>
      </c>
      <c r="M10">
        <v>182</v>
      </c>
      <c r="N10">
        <v>196</v>
      </c>
      <c r="O10">
        <v>210</v>
      </c>
      <c r="P10">
        <v>224</v>
      </c>
      <c r="Q10">
        <v>238</v>
      </c>
      <c r="R10">
        <v>252</v>
      </c>
      <c r="S10">
        <v>266</v>
      </c>
      <c r="T10">
        <v>280</v>
      </c>
      <c r="U10">
        <v>294</v>
      </c>
      <c r="V10">
        <v>308</v>
      </c>
      <c r="W10">
        <v>322</v>
      </c>
      <c r="X10">
        <v>336</v>
      </c>
      <c r="Y10">
        <v>350</v>
      </c>
      <c r="Z10">
        <v>364</v>
      </c>
      <c r="AA10">
        <v>378</v>
      </c>
      <c r="AB10">
        <v>392</v>
      </c>
      <c r="AC10">
        <v>406</v>
      </c>
      <c r="AD10">
        <v>420</v>
      </c>
      <c r="AE10">
        <v>434</v>
      </c>
      <c r="AF10">
        <v>448</v>
      </c>
      <c r="AG10">
        <v>462</v>
      </c>
      <c r="AH10">
        <v>476</v>
      </c>
      <c r="AI10">
        <v>490</v>
      </c>
      <c r="AJ10">
        <v>504</v>
      </c>
      <c r="AK10">
        <v>518</v>
      </c>
      <c r="AL10">
        <v>532</v>
      </c>
      <c r="AM10">
        <v>546</v>
      </c>
      <c r="AN10">
        <v>560</v>
      </c>
      <c r="AO10">
        <v>574</v>
      </c>
      <c r="AP10">
        <v>588</v>
      </c>
      <c r="AQ10">
        <v>602</v>
      </c>
      <c r="AR10">
        <v>616</v>
      </c>
      <c r="AS10">
        <v>630</v>
      </c>
      <c r="AT10">
        <v>644</v>
      </c>
      <c r="AU10">
        <v>658</v>
      </c>
      <c r="AV10">
        <v>672</v>
      </c>
      <c r="AW10">
        <v>686</v>
      </c>
      <c r="AX10">
        <v>700</v>
      </c>
      <c r="AY10">
        <v>714</v>
      </c>
      <c r="AZ10">
        <v>728</v>
      </c>
      <c r="BA10">
        <v>742</v>
      </c>
      <c r="BB10">
        <v>756</v>
      </c>
      <c r="BC10">
        <v>770</v>
      </c>
      <c r="BD10">
        <v>784</v>
      </c>
      <c r="BE10">
        <v>798</v>
      </c>
      <c r="BF10">
        <v>812</v>
      </c>
      <c r="BG10">
        <v>826</v>
      </c>
      <c r="BH10">
        <v>840</v>
      </c>
      <c r="BI10">
        <v>854</v>
      </c>
      <c r="BJ10">
        <v>868</v>
      </c>
      <c r="BK10">
        <v>882</v>
      </c>
      <c r="BL10">
        <v>896</v>
      </c>
      <c r="BM10">
        <v>910</v>
      </c>
      <c r="BN10">
        <v>924</v>
      </c>
      <c r="BO10">
        <v>938</v>
      </c>
      <c r="BP10">
        <v>952</v>
      </c>
      <c r="BQ10">
        <v>966</v>
      </c>
      <c r="BR10">
        <v>980</v>
      </c>
      <c r="BS10">
        <v>994</v>
      </c>
      <c r="BT10">
        <v>1008</v>
      </c>
      <c r="BU10">
        <v>1022</v>
      </c>
      <c r="BV10">
        <v>1036</v>
      </c>
      <c r="BW10">
        <v>1050</v>
      </c>
      <c r="BX10">
        <v>1064</v>
      </c>
      <c r="BY10">
        <v>1078</v>
      </c>
      <c r="BZ10">
        <v>1092</v>
      </c>
      <c r="CA10">
        <v>1106</v>
      </c>
      <c r="CB10">
        <v>1120</v>
      </c>
      <c r="CC10">
        <v>1134</v>
      </c>
      <c r="CD10">
        <v>1148</v>
      </c>
      <c r="CE10">
        <v>1162</v>
      </c>
      <c r="CF10">
        <v>1176</v>
      </c>
      <c r="CG10">
        <v>1190</v>
      </c>
      <c r="CH10">
        <v>1204</v>
      </c>
      <c r="CI10">
        <v>1218</v>
      </c>
      <c r="CJ10">
        <v>1232</v>
      </c>
      <c r="CK10">
        <v>1246</v>
      </c>
      <c r="CL10">
        <v>1260</v>
      </c>
      <c r="CM10">
        <v>1274</v>
      </c>
      <c r="CN10">
        <v>1288</v>
      </c>
      <c r="CO10">
        <v>1302</v>
      </c>
      <c r="CP10">
        <v>1316</v>
      </c>
      <c r="CQ10">
        <v>1330</v>
      </c>
      <c r="CR10">
        <v>1344</v>
      </c>
      <c r="CS10">
        <v>1358</v>
      </c>
      <c r="CT10">
        <v>1372</v>
      </c>
      <c r="CU10">
        <v>1386</v>
      </c>
      <c r="CV10" t="s">
        <v>76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30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55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</v>
      </c>
      <c r="AZ20">
        <v>2</v>
      </c>
      <c r="BA20">
        <v>3</v>
      </c>
      <c r="BB20">
        <v>4</v>
      </c>
      <c r="BC20">
        <v>5</v>
      </c>
      <c r="BD20">
        <v>6</v>
      </c>
      <c r="BE20">
        <v>7</v>
      </c>
      <c r="BF20">
        <v>8</v>
      </c>
      <c r="BG20">
        <v>9</v>
      </c>
      <c r="BH20">
        <v>10</v>
      </c>
      <c r="BI20">
        <v>11</v>
      </c>
      <c r="BJ20">
        <v>12</v>
      </c>
      <c r="BK20">
        <v>13</v>
      </c>
      <c r="BL20">
        <v>14</v>
      </c>
      <c r="BM20">
        <v>15</v>
      </c>
      <c r="BN20">
        <v>16</v>
      </c>
      <c r="BO20">
        <v>17</v>
      </c>
      <c r="BP20">
        <v>18</v>
      </c>
      <c r="BQ20">
        <v>18</v>
      </c>
      <c r="BR20">
        <v>19</v>
      </c>
      <c r="BS20">
        <v>20</v>
      </c>
      <c r="BT20">
        <v>20</v>
      </c>
      <c r="BU20">
        <f>BT20+0.5</f>
        <v>20.5</v>
      </c>
      <c r="BV20">
        <f t="shared" ref="BV20:CU20" si="2">BU20+0.5</f>
        <v>21</v>
      </c>
      <c r="BW20">
        <f t="shared" si="2"/>
        <v>21.5</v>
      </c>
      <c r="BX20">
        <f t="shared" si="2"/>
        <v>22</v>
      </c>
      <c r="BY20">
        <f t="shared" si="2"/>
        <v>22.5</v>
      </c>
      <c r="BZ20">
        <f t="shared" si="2"/>
        <v>23</v>
      </c>
      <c r="CA20">
        <f t="shared" si="2"/>
        <v>23.5</v>
      </c>
      <c r="CB20">
        <f t="shared" si="2"/>
        <v>24</v>
      </c>
      <c r="CC20">
        <f t="shared" si="2"/>
        <v>24.5</v>
      </c>
      <c r="CD20">
        <f t="shared" si="2"/>
        <v>25</v>
      </c>
      <c r="CE20">
        <f t="shared" si="2"/>
        <v>25.5</v>
      </c>
      <c r="CF20">
        <f t="shared" si="2"/>
        <v>26</v>
      </c>
      <c r="CG20">
        <f t="shared" si="2"/>
        <v>26.5</v>
      </c>
      <c r="CH20">
        <f t="shared" si="2"/>
        <v>27</v>
      </c>
      <c r="CI20">
        <f t="shared" si="2"/>
        <v>27.5</v>
      </c>
      <c r="CJ20">
        <f t="shared" si="2"/>
        <v>28</v>
      </c>
      <c r="CK20">
        <f t="shared" si="2"/>
        <v>28.5</v>
      </c>
      <c r="CL20">
        <f t="shared" si="2"/>
        <v>29</v>
      </c>
      <c r="CM20">
        <f t="shared" si="2"/>
        <v>29.5</v>
      </c>
      <c r="CN20">
        <f t="shared" si="2"/>
        <v>30</v>
      </c>
      <c r="CO20">
        <f t="shared" si="2"/>
        <v>30.5</v>
      </c>
      <c r="CP20">
        <f t="shared" si="2"/>
        <v>31</v>
      </c>
      <c r="CQ20">
        <f t="shared" si="2"/>
        <v>31.5</v>
      </c>
      <c r="CR20">
        <f t="shared" si="2"/>
        <v>32</v>
      </c>
      <c r="CS20">
        <f t="shared" si="2"/>
        <v>32.5</v>
      </c>
      <c r="CT20">
        <f t="shared" si="2"/>
        <v>33</v>
      </c>
      <c r="CU20">
        <f t="shared" si="2"/>
        <v>33.5</v>
      </c>
      <c r="CV20" t="s">
        <v>77</v>
      </c>
    </row>
    <row r="21" spans="1:100" x14ac:dyDescent="0.25">
      <c r="A21" t="s">
        <v>59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25</v>
      </c>
      <c r="B25">
        <v>7</v>
      </c>
      <c r="C25">
        <v>11</v>
      </c>
      <c r="D25">
        <v>14</v>
      </c>
      <c r="E25">
        <v>18</v>
      </c>
      <c r="F25">
        <v>21</v>
      </c>
      <c r="G25">
        <v>25</v>
      </c>
      <c r="H25">
        <v>28</v>
      </c>
      <c r="I25">
        <v>32</v>
      </c>
      <c r="J25">
        <v>35</v>
      </c>
      <c r="K25">
        <v>39</v>
      </c>
      <c r="L25">
        <v>42</v>
      </c>
      <c r="M25">
        <v>46</v>
      </c>
      <c r="N25">
        <v>49</v>
      </c>
      <c r="O25">
        <v>53</v>
      </c>
      <c r="P25">
        <v>56</v>
      </c>
      <c r="Q25">
        <v>60</v>
      </c>
      <c r="R25">
        <v>63</v>
      </c>
      <c r="S25">
        <v>67</v>
      </c>
      <c r="T25">
        <v>70</v>
      </c>
      <c r="U25">
        <v>74</v>
      </c>
      <c r="V25">
        <v>77</v>
      </c>
      <c r="W25">
        <v>81</v>
      </c>
      <c r="X25">
        <v>84</v>
      </c>
      <c r="Y25">
        <v>88</v>
      </c>
      <c r="Z25">
        <v>91</v>
      </c>
      <c r="AA25">
        <v>95</v>
      </c>
      <c r="AB25">
        <v>98</v>
      </c>
      <c r="AC25">
        <v>102</v>
      </c>
      <c r="AD25">
        <v>105</v>
      </c>
      <c r="AE25">
        <v>109</v>
      </c>
      <c r="AF25">
        <v>112</v>
      </c>
      <c r="AG25">
        <v>116</v>
      </c>
      <c r="AH25">
        <v>119</v>
      </c>
      <c r="AI25">
        <v>123</v>
      </c>
      <c r="AJ25">
        <v>126</v>
      </c>
      <c r="AK25">
        <v>130</v>
      </c>
      <c r="AL25">
        <v>133</v>
      </c>
      <c r="AM25">
        <v>137</v>
      </c>
      <c r="AN25">
        <v>140</v>
      </c>
      <c r="AO25">
        <v>144</v>
      </c>
      <c r="AP25">
        <v>147</v>
      </c>
      <c r="AQ25">
        <v>151</v>
      </c>
      <c r="AR25">
        <v>154</v>
      </c>
      <c r="AS25">
        <v>158</v>
      </c>
      <c r="AT25">
        <v>161</v>
      </c>
      <c r="AU25">
        <v>165</v>
      </c>
      <c r="AV25">
        <v>168</v>
      </c>
      <c r="AW25">
        <v>172</v>
      </c>
      <c r="AX25">
        <v>175</v>
      </c>
      <c r="AY25">
        <v>179</v>
      </c>
      <c r="AZ25">
        <v>182</v>
      </c>
      <c r="BA25">
        <v>186</v>
      </c>
      <c r="BB25">
        <v>189</v>
      </c>
      <c r="BC25">
        <v>193</v>
      </c>
      <c r="BD25">
        <v>196</v>
      </c>
      <c r="BE25">
        <v>200</v>
      </c>
      <c r="BF25">
        <v>203</v>
      </c>
      <c r="BG25">
        <v>207</v>
      </c>
      <c r="BH25">
        <v>210</v>
      </c>
      <c r="BI25">
        <v>214</v>
      </c>
      <c r="BJ25">
        <v>217</v>
      </c>
      <c r="BK25">
        <v>221</v>
      </c>
      <c r="BL25">
        <v>224</v>
      </c>
      <c r="BM25">
        <v>228</v>
      </c>
      <c r="BN25">
        <v>231</v>
      </c>
      <c r="BO25">
        <v>235</v>
      </c>
      <c r="BP25">
        <v>238</v>
      </c>
      <c r="BQ25">
        <v>242</v>
      </c>
      <c r="BR25">
        <v>245</v>
      </c>
      <c r="BS25">
        <v>249</v>
      </c>
      <c r="BT25">
        <v>252</v>
      </c>
      <c r="BU25">
        <v>256</v>
      </c>
      <c r="BV25">
        <v>259</v>
      </c>
      <c r="BW25">
        <v>263</v>
      </c>
      <c r="BX25">
        <v>266</v>
      </c>
      <c r="BY25">
        <v>270</v>
      </c>
      <c r="BZ25">
        <v>273</v>
      </c>
      <c r="CA25">
        <v>277</v>
      </c>
      <c r="CB25">
        <v>280</v>
      </c>
      <c r="CC25">
        <v>284</v>
      </c>
      <c r="CD25">
        <v>287</v>
      </c>
      <c r="CE25">
        <v>291</v>
      </c>
      <c r="CF25">
        <v>294</v>
      </c>
      <c r="CG25">
        <v>298</v>
      </c>
      <c r="CH25">
        <v>301</v>
      </c>
      <c r="CI25">
        <v>305</v>
      </c>
      <c r="CJ25">
        <v>308</v>
      </c>
      <c r="CK25">
        <v>312</v>
      </c>
      <c r="CL25">
        <v>315</v>
      </c>
      <c r="CM25">
        <v>319</v>
      </c>
      <c r="CN25">
        <v>322</v>
      </c>
      <c r="CO25">
        <v>326</v>
      </c>
      <c r="CP25">
        <v>329</v>
      </c>
      <c r="CQ25">
        <v>333</v>
      </c>
      <c r="CR25">
        <v>336</v>
      </c>
      <c r="CS25">
        <v>340</v>
      </c>
      <c r="CT25">
        <v>343</v>
      </c>
      <c r="CU25">
        <v>347</v>
      </c>
      <c r="CV25" t="s">
        <v>61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2</v>
      </c>
      <c r="BA26">
        <v>3</v>
      </c>
      <c r="BB26">
        <v>4</v>
      </c>
      <c r="BC26">
        <v>5</v>
      </c>
      <c r="BD26">
        <v>6</v>
      </c>
      <c r="BE26">
        <v>7</v>
      </c>
      <c r="BF26">
        <v>8</v>
      </c>
      <c r="BG26">
        <v>9</v>
      </c>
      <c r="BH26">
        <v>10</v>
      </c>
      <c r="BI26">
        <v>11</v>
      </c>
      <c r="BJ26">
        <v>12</v>
      </c>
      <c r="BK26">
        <v>13</v>
      </c>
      <c r="BL26">
        <v>14</v>
      </c>
      <c r="BM26">
        <v>15</v>
      </c>
      <c r="BN26">
        <v>16</v>
      </c>
      <c r="BO26">
        <v>17</v>
      </c>
      <c r="BP26">
        <v>18</v>
      </c>
      <c r="BQ26">
        <v>18</v>
      </c>
      <c r="BR26">
        <v>19</v>
      </c>
      <c r="BS26">
        <v>19</v>
      </c>
      <c r="BT26">
        <v>20</v>
      </c>
      <c r="BU26">
        <f>BT26+0.5</f>
        <v>20.5</v>
      </c>
      <c r="BV26">
        <f t="shared" ref="BV26:CU26" si="3">BU26+0.5</f>
        <v>21</v>
      </c>
      <c r="BW26">
        <f t="shared" si="3"/>
        <v>21.5</v>
      </c>
      <c r="BX26">
        <f t="shared" si="3"/>
        <v>22</v>
      </c>
      <c r="BY26">
        <f t="shared" si="3"/>
        <v>22.5</v>
      </c>
      <c r="BZ26">
        <f t="shared" si="3"/>
        <v>23</v>
      </c>
      <c r="CA26">
        <f t="shared" si="3"/>
        <v>23.5</v>
      </c>
      <c r="CB26">
        <f t="shared" si="3"/>
        <v>24</v>
      </c>
      <c r="CC26">
        <f t="shared" si="3"/>
        <v>24.5</v>
      </c>
      <c r="CD26">
        <f t="shared" si="3"/>
        <v>25</v>
      </c>
      <c r="CE26">
        <f t="shared" si="3"/>
        <v>25.5</v>
      </c>
      <c r="CF26">
        <f t="shared" si="3"/>
        <v>26</v>
      </c>
      <c r="CG26">
        <f t="shared" si="3"/>
        <v>26.5</v>
      </c>
      <c r="CH26">
        <f t="shared" si="3"/>
        <v>27</v>
      </c>
      <c r="CI26">
        <f t="shared" si="3"/>
        <v>27.5</v>
      </c>
      <c r="CJ26">
        <f t="shared" si="3"/>
        <v>28</v>
      </c>
      <c r="CK26">
        <f t="shared" si="3"/>
        <v>28.5</v>
      </c>
      <c r="CL26">
        <f t="shared" si="3"/>
        <v>29</v>
      </c>
      <c r="CM26">
        <f t="shared" si="3"/>
        <v>29.5</v>
      </c>
      <c r="CN26">
        <f t="shared" si="3"/>
        <v>30</v>
      </c>
      <c r="CO26">
        <f t="shared" si="3"/>
        <v>30.5</v>
      </c>
      <c r="CP26">
        <f t="shared" si="3"/>
        <v>31</v>
      </c>
      <c r="CQ26">
        <f t="shared" si="3"/>
        <v>31.5</v>
      </c>
      <c r="CR26">
        <f t="shared" si="3"/>
        <v>32</v>
      </c>
      <c r="CS26">
        <f t="shared" si="3"/>
        <v>32.5</v>
      </c>
      <c r="CT26">
        <f t="shared" si="3"/>
        <v>33</v>
      </c>
      <c r="CU26">
        <f t="shared" si="3"/>
        <v>33.5</v>
      </c>
      <c r="CV26" t="s">
        <v>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26"/>
  <sheetViews>
    <sheetView workbookViewId="0">
      <selection activeCell="A26" sqref="A26:XFD26"/>
    </sheetView>
  </sheetViews>
  <sheetFormatPr defaultRowHeight="15" x14ac:dyDescent="0.25"/>
  <cols>
    <col min="1" max="1" width="52.42578125" bestFit="1" customWidth="1"/>
    <col min="2" max="4" width="3" bestFit="1" customWidth="1"/>
    <col min="5" max="49" width="4" bestFit="1" customWidth="1"/>
    <col min="50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60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72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0.25</v>
      </c>
      <c r="AZ2">
        <v>0.5</v>
      </c>
      <c r="BA2">
        <v>0.75</v>
      </c>
      <c r="BB2">
        <v>1</v>
      </c>
      <c r="BC2">
        <v>1.25</v>
      </c>
      <c r="BD2">
        <v>1.5</v>
      </c>
      <c r="BE2">
        <v>1.75</v>
      </c>
      <c r="BF2">
        <v>2</v>
      </c>
      <c r="BG2">
        <v>2.25</v>
      </c>
      <c r="BH2">
        <v>2.5</v>
      </c>
      <c r="BI2">
        <v>2.75</v>
      </c>
      <c r="BJ2">
        <v>3</v>
      </c>
      <c r="BK2">
        <v>3.25</v>
      </c>
      <c r="BL2">
        <v>3.5</v>
      </c>
      <c r="BM2">
        <v>3.75</v>
      </c>
      <c r="BN2">
        <v>4</v>
      </c>
      <c r="BO2">
        <v>4.25</v>
      </c>
      <c r="BP2">
        <v>4.5</v>
      </c>
      <c r="BQ2">
        <v>4.5</v>
      </c>
      <c r="BR2">
        <v>4.75</v>
      </c>
      <c r="BS2">
        <v>4.75</v>
      </c>
      <c r="BT2">
        <v>5</v>
      </c>
      <c r="BU2">
        <f>BT2+0.125</f>
        <v>5.125</v>
      </c>
      <c r="BV2">
        <f t="shared" ref="BV2:CU6" si="0">BU2+0.125</f>
        <v>5.25</v>
      </c>
      <c r="BW2">
        <f t="shared" si="0"/>
        <v>5.375</v>
      </c>
      <c r="BX2">
        <f t="shared" si="0"/>
        <v>5.5</v>
      </c>
      <c r="BY2">
        <f t="shared" si="0"/>
        <v>5.625</v>
      </c>
      <c r="BZ2">
        <f t="shared" si="0"/>
        <v>5.75</v>
      </c>
      <c r="CA2">
        <f t="shared" si="0"/>
        <v>5.875</v>
      </c>
      <c r="CB2">
        <f t="shared" si="0"/>
        <v>6</v>
      </c>
      <c r="CC2">
        <f t="shared" si="0"/>
        <v>6.125</v>
      </c>
      <c r="CD2">
        <f t="shared" si="0"/>
        <v>6.25</v>
      </c>
      <c r="CE2">
        <f t="shared" si="0"/>
        <v>6.375</v>
      </c>
      <c r="CF2">
        <f t="shared" si="0"/>
        <v>6.5</v>
      </c>
      <c r="CG2">
        <f t="shared" si="0"/>
        <v>6.625</v>
      </c>
      <c r="CH2">
        <f t="shared" si="0"/>
        <v>6.75</v>
      </c>
      <c r="CI2">
        <f t="shared" si="0"/>
        <v>6.875</v>
      </c>
      <c r="CJ2">
        <f t="shared" si="0"/>
        <v>7</v>
      </c>
      <c r="CK2">
        <f t="shared" si="0"/>
        <v>7.125</v>
      </c>
      <c r="CL2">
        <f t="shared" si="0"/>
        <v>7.25</v>
      </c>
      <c r="CM2">
        <f t="shared" si="0"/>
        <v>7.375</v>
      </c>
      <c r="CN2">
        <f t="shared" si="0"/>
        <v>7.5</v>
      </c>
      <c r="CO2">
        <f t="shared" si="0"/>
        <v>7.625</v>
      </c>
      <c r="CP2">
        <f t="shared" si="0"/>
        <v>7.75</v>
      </c>
      <c r="CQ2">
        <f t="shared" si="0"/>
        <v>7.875</v>
      </c>
      <c r="CR2">
        <f t="shared" si="0"/>
        <v>8</v>
      </c>
      <c r="CS2">
        <f t="shared" si="0"/>
        <v>8.125</v>
      </c>
      <c r="CT2">
        <f t="shared" si="0"/>
        <v>8.25</v>
      </c>
      <c r="CU2">
        <f t="shared" si="0"/>
        <v>8.375</v>
      </c>
      <c r="CV2" t="s">
        <v>87</v>
      </c>
    </row>
    <row r="3" spans="1:100" x14ac:dyDescent="0.25">
      <c r="A3" t="s">
        <v>81</v>
      </c>
      <c r="B3">
        <v>9</v>
      </c>
      <c r="C3">
        <v>14</v>
      </c>
      <c r="D3">
        <v>18</v>
      </c>
      <c r="E3">
        <v>23</v>
      </c>
      <c r="F3">
        <v>27</v>
      </c>
      <c r="G3">
        <v>32</v>
      </c>
      <c r="H3">
        <v>36</v>
      </c>
      <c r="I3">
        <v>41</v>
      </c>
      <c r="J3">
        <v>45</v>
      </c>
      <c r="K3">
        <v>50</v>
      </c>
      <c r="L3">
        <v>54</v>
      </c>
      <c r="M3">
        <v>59</v>
      </c>
      <c r="N3">
        <v>63</v>
      </c>
      <c r="O3">
        <v>68</v>
      </c>
      <c r="P3">
        <v>72</v>
      </c>
      <c r="Q3">
        <v>77</v>
      </c>
      <c r="R3">
        <v>81</v>
      </c>
      <c r="S3">
        <v>86</v>
      </c>
      <c r="T3">
        <v>90</v>
      </c>
      <c r="U3">
        <v>95</v>
      </c>
      <c r="V3">
        <v>99</v>
      </c>
      <c r="W3">
        <v>104</v>
      </c>
      <c r="X3">
        <v>108</v>
      </c>
      <c r="Y3">
        <v>113</v>
      </c>
      <c r="Z3">
        <v>117</v>
      </c>
      <c r="AA3">
        <v>122</v>
      </c>
      <c r="AB3">
        <v>126</v>
      </c>
      <c r="AC3">
        <v>131</v>
      </c>
      <c r="AD3">
        <v>135</v>
      </c>
      <c r="AE3">
        <v>140</v>
      </c>
      <c r="AF3">
        <v>144</v>
      </c>
      <c r="AG3">
        <v>149</v>
      </c>
      <c r="AH3">
        <v>153</v>
      </c>
      <c r="AI3">
        <v>158</v>
      </c>
      <c r="AJ3">
        <v>162</v>
      </c>
      <c r="AK3">
        <v>167</v>
      </c>
      <c r="AL3">
        <v>171</v>
      </c>
      <c r="AM3">
        <v>176</v>
      </c>
      <c r="AN3">
        <v>180</v>
      </c>
      <c r="AO3">
        <v>185</v>
      </c>
      <c r="AP3">
        <v>189</v>
      </c>
      <c r="AQ3">
        <v>194</v>
      </c>
      <c r="AR3">
        <v>198</v>
      </c>
      <c r="AS3">
        <v>203</v>
      </c>
      <c r="AT3">
        <v>207</v>
      </c>
      <c r="AU3">
        <v>212</v>
      </c>
      <c r="AV3">
        <v>216</v>
      </c>
      <c r="AW3">
        <v>221</v>
      </c>
      <c r="AX3">
        <v>225</v>
      </c>
      <c r="AY3">
        <v>230</v>
      </c>
      <c r="AZ3">
        <v>234</v>
      </c>
      <c r="BA3">
        <v>239</v>
      </c>
      <c r="BB3">
        <v>243</v>
      </c>
      <c r="BC3">
        <v>248</v>
      </c>
      <c r="BD3">
        <v>252</v>
      </c>
      <c r="BE3">
        <v>257</v>
      </c>
      <c r="BF3">
        <v>261</v>
      </c>
      <c r="BG3">
        <v>266</v>
      </c>
      <c r="BH3">
        <v>270</v>
      </c>
      <c r="BI3">
        <v>275</v>
      </c>
      <c r="BJ3">
        <v>279</v>
      </c>
      <c r="BK3">
        <v>284</v>
      </c>
      <c r="BL3">
        <v>288</v>
      </c>
      <c r="BM3">
        <v>293</v>
      </c>
      <c r="BN3">
        <v>297</v>
      </c>
      <c r="BO3">
        <v>302</v>
      </c>
      <c r="BP3">
        <v>306</v>
      </c>
      <c r="BQ3">
        <v>311</v>
      </c>
      <c r="BR3">
        <v>315</v>
      </c>
      <c r="BS3">
        <v>320</v>
      </c>
      <c r="BT3">
        <v>324</v>
      </c>
      <c r="BU3">
        <v>329</v>
      </c>
      <c r="BV3">
        <v>333</v>
      </c>
      <c r="BW3">
        <v>338</v>
      </c>
      <c r="BX3">
        <v>342</v>
      </c>
      <c r="BY3">
        <v>347</v>
      </c>
      <c r="BZ3">
        <v>351</v>
      </c>
      <c r="CA3">
        <v>356</v>
      </c>
      <c r="CB3">
        <v>360</v>
      </c>
      <c r="CC3">
        <v>365</v>
      </c>
      <c r="CD3">
        <v>369</v>
      </c>
      <c r="CE3">
        <v>374</v>
      </c>
      <c r="CF3">
        <v>378</v>
      </c>
      <c r="CG3">
        <v>383</v>
      </c>
      <c r="CH3">
        <v>387</v>
      </c>
      <c r="CI3">
        <v>392</v>
      </c>
      <c r="CJ3">
        <v>396</v>
      </c>
      <c r="CK3">
        <v>401</v>
      </c>
      <c r="CL3">
        <v>405</v>
      </c>
      <c r="CM3">
        <v>410</v>
      </c>
      <c r="CN3">
        <v>414</v>
      </c>
      <c r="CO3">
        <v>419</v>
      </c>
      <c r="CP3">
        <v>423</v>
      </c>
      <c r="CQ3">
        <v>428</v>
      </c>
      <c r="CR3">
        <v>432</v>
      </c>
      <c r="CS3">
        <v>437</v>
      </c>
      <c r="CT3">
        <v>441</v>
      </c>
      <c r="CU3">
        <v>446</v>
      </c>
      <c r="CV3" t="s">
        <v>82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0.25</v>
      </c>
      <c r="AZ4">
        <v>0.5</v>
      </c>
      <c r="BA4">
        <v>0.75</v>
      </c>
      <c r="BB4">
        <v>1</v>
      </c>
      <c r="BC4">
        <v>1.25</v>
      </c>
      <c r="BD4">
        <v>1.5</v>
      </c>
      <c r="BE4">
        <v>1.75</v>
      </c>
      <c r="BF4">
        <v>2</v>
      </c>
      <c r="BG4">
        <v>2.25</v>
      </c>
      <c r="BH4">
        <v>2.5</v>
      </c>
      <c r="BI4">
        <v>2.75</v>
      </c>
      <c r="BJ4">
        <v>3</v>
      </c>
      <c r="BK4">
        <v>3.25</v>
      </c>
      <c r="BL4">
        <v>3.5</v>
      </c>
      <c r="BM4">
        <v>3.75</v>
      </c>
      <c r="BN4">
        <v>4</v>
      </c>
      <c r="BO4">
        <v>4.25</v>
      </c>
      <c r="BP4">
        <v>4.5</v>
      </c>
      <c r="BQ4">
        <v>4.5</v>
      </c>
      <c r="BR4">
        <v>4.75</v>
      </c>
      <c r="BS4">
        <v>4.75</v>
      </c>
      <c r="BT4">
        <v>5</v>
      </c>
      <c r="BU4">
        <f>BT4+0.125</f>
        <v>5.125</v>
      </c>
      <c r="BV4">
        <f t="shared" si="0"/>
        <v>5.25</v>
      </c>
      <c r="BW4">
        <f t="shared" si="0"/>
        <v>5.375</v>
      </c>
      <c r="BX4">
        <f t="shared" si="0"/>
        <v>5.5</v>
      </c>
      <c r="BY4">
        <f t="shared" si="0"/>
        <v>5.625</v>
      </c>
      <c r="BZ4">
        <f t="shared" si="0"/>
        <v>5.75</v>
      </c>
      <c r="CA4">
        <f t="shared" si="0"/>
        <v>5.875</v>
      </c>
      <c r="CB4">
        <f t="shared" si="0"/>
        <v>6</v>
      </c>
      <c r="CC4">
        <f t="shared" si="0"/>
        <v>6.125</v>
      </c>
      <c r="CD4">
        <f t="shared" si="0"/>
        <v>6.25</v>
      </c>
      <c r="CE4">
        <f t="shared" si="0"/>
        <v>6.375</v>
      </c>
      <c r="CF4">
        <f t="shared" si="0"/>
        <v>6.5</v>
      </c>
      <c r="CG4">
        <f t="shared" si="0"/>
        <v>6.625</v>
      </c>
      <c r="CH4">
        <f t="shared" si="0"/>
        <v>6.75</v>
      </c>
      <c r="CI4">
        <f t="shared" si="0"/>
        <v>6.875</v>
      </c>
      <c r="CJ4">
        <f t="shared" si="0"/>
        <v>7</v>
      </c>
      <c r="CK4">
        <f t="shared" si="0"/>
        <v>7.125</v>
      </c>
      <c r="CL4">
        <f t="shared" si="0"/>
        <v>7.25</v>
      </c>
      <c r="CM4">
        <f t="shared" si="0"/>
        <v>7.375</v>
      </c>
      <c r="CN4">
        <f t="shared" si="0"/>
        <v>7.5</v>
      </c>
      <c r="CO4">
        <f t="shared" si="0"/>
        <v>7.625</v>
      </c>
      <c r="CP4">
        <f t="shared" si="0"/>
        <v>7.75</v>
      </c>
      <c r="CQ4">
        <f t="shared" si="0"/>
        <v>7.875</v>
      </c>
      <c r="CR4">
        <f t="shared" si="0"/>
        <v>8</v>
      </c>
      <c r="CS4">
        <f t="shared" si="0"/>
        <v>8.125</v>
      </c>
      <c r="CT4">
        <f t="shared" si="0"/>
        <v>8.25</v>
      </c>
      <c r="CU4">
        <f t="shared" si="0"/>
        <v>8.375</v>
      </c>
      <c r="CV4" t="s">
        <v>87</v>
      </c>
    </row>
    <row r="5" spans="1:100" x14ac:dyDescent="0.25">
      <c r="A5" t="s">
        <v>83</v>
      </c>
      <c r="B5">
        <v>40</v>
      </c>
      <c r="C5">
        <v>60</v>
      </c>
      <c r="D5">
        <v>80</v>
      </c>
      <c r="E5">
        <v>100</v>
      </c>
      <c r="F5">
        <v>120</v>
      </c>
      <c r="G5">
        <v>140</v>
      </c>
      <c r="H5">
        <v>160</v>
      </c>
      <c r="I5">
        <v>180</v>
      </c>
      <c r="J5">
        <v>200</v>
      </c>
      <c r="K5">
        <v>220</v>
      </c>
      <c r="L5">
        <v>240</v>
      </c>
      <c r="M5">
        <v>260</v>
      </c>
      <c r="N5">
        <v>280</v>
      </c>
      <c r="O5">
        <v>300</v>
      </c>
      <c r="P5">
        <v>320</v>
      </c>
      <c r="Q5">
        <v>340</v>
      </c>
      <c r="R5">
        <v>360</v>
      </c>
      <c r="S5">
        <v>380</v>
      </c>
      <c r="T5">
        <v>400</v>
      </c>
      <c r="U5">
        <v>420</v>
      </c>
      <c r="V5">
        <v>440</v>
      </c>
      <c r="W5">
        <v>460</v>
      </c>
      <c r="X5">
        <v>480</v>
      </c>
      <c r="Y5">
        <v>500</v>
      </c>
      <c r="Z5">
        <v>520</v>
      </c>
      <c r="AA5">
        <v>540</v>
      </c>
      <c r="AB5">
        <v>560</v>
      </c>
      <c r="AC5">
        <v>580</v>
      </c>
      <c r="AD5">
        <v>600</v>
      </c>
      <c r="AE5">
        <v>620</v>
      </c>
      <c r="AF5">
        <v>640</v>
      </c>
      <c r="AG5">
        <v>660</v>
      </c>
      <c r="AH5">
        <v>680</v>
      </c>
      <c r="AI5">
        <v>700</v>
      </c>
      <c r="AJ5">
        <v>720</v>
      </c>
      <c r="AK5">
        <v>740</v>
      </c>
      <c r="AL5">
        <v>760</v>
      </c>
      <c r="AM5">
        <v>780</v>
      </c>
      <c r="AN5">
        <v>800</v>
      </c>
      <c r="AO5">
        <v>820</v>
      </c>
      <c r="AP5">
        <v>840</v>
      </c>
      <c r="AQ5">
        <v>860</v>
      </c>
      <c r="AR5">
        <v>880</v>
      </c>
      <c r="AS5">
        <v>900</v>
      </c>
      <c r="AT5">
        <v>920</v>
      </c>
      <c r="AU5">
        <v>940</v>
      </c>
      <c r="AV5">
        <v>960</v>
      </c>
      <c r="AW5">
        <v>980</v>
      </c>
      <c r="AX5">
        <v>1000</v>
      </c>
      <c r="AY5">
        <v>1020</v>
      </c>
      <c r="AZ5">
        <v>1040</v>
      </c>
      <c r="BA5">
        <v>1060</v>
      </c>
      <c r="BB5">
        <v>1080</v>
      </c>
      <c r="BC5">
        <v>1100</v>
      </c>
      <c r="BD5">
        <v>1120</v>
      </c>
      <c r="BE5">
        <v>1140</v>
      </c>
      <c r="BF5">
        <v>1160</v>
      </c>
      <c r="BG5">
        <v>1180</v>
      </c>
      <c r="BH5">
        <v>1200</v>
      </c>
      <c r="BI5">
        <v>1220</v>
      </c>
      <c r="BJ5">
        <v>1240</v>
      </c>
      <c r="BK5">
        <v>1260</v>
      </c>
      <c r="BL5">
        <v>1280</v>
      </c>
      <c r="BM5">
        <v>1300</v>
      </c>
      <c r="BN5">
        <v>1320</v>
      </c>
      <c r="BO5">
        <v>1340</v>
      </c>
      <c r="BP5">
        <v>1360</v>
      </c>
      <c r="BQ5">
        <v>1380</v>
      </c>
      <c r="BR5">
        <v>1400</v>
      </c>
      <c r="BS5">
        <v>1420</v>
      </c>
      <c r="BT5">
        <v>1440</v>
      </c>
      <c r="BU5">
        <v>1460</v>
      </c>
      <c r="BV5">
        <v>1480</v>
      </c>
      <c r="BW5">
        <v>1500</v>
      </c>
      <c r="BX5">
        <v>1520</v>
      </c>
      <c r="BY5">
        <v>1540</v>
      </c>
      <c r="BZ5">
        <v>1560</v>
      </c>
      <c r="CA5">
        <v>1580</v>
      </c>
      <c r="CB5">
        <v>1600</v>
      </c>
      <c r="CC5">
        <v>1620</v>
      </c>
      <c r="CD5">
        <v>1640</v>
      </c>
      <c r="CE5">
        <v>1660</v>
      </c>
      <c r="CF5">
        <v>1680</v>
      </c>
      <c r="CG5">
        <v>1700</v>
      </c>
      <c r="CH5">
        <v>1720</v>
      </c>
      <c r="CI5">
        <v>1740</v>
      </c>
      <c r="CJ5">
        <v>1760</v>
      </c>
      <c r="CK5">
        <v>1780</v>
      </c>
      <c r="CL5">
        <v>1800</v>
      </c>
      <c r="CM5">
        <v>1820</v>
      </c>
      <c r="CN5">
        <v>1840</v>
      </c>
      <c r="CO5">
        <v>1860</v>
      </c>
      <c r="CP5">
        <v>1880</v>
      </c>
      <c r="CQ5">
        <v>1900</v>
      </c>
      <c r="CR5">
        <v>1920</v>
      </c>
      <c r="CS5">
        <v>1940</v>
      </c>
      <c r="CT5">
        <v>1960</v>
      </c>
      <c r="CU5">
        <v>1980</v>
      </c>
      <c r="CV5" t="s">
        <v>84</v>
      </c>
    </row>
    <row r="6" spans="1:100" x14ac:dyDescent="0.25">
      <c r="A6" t="s">
        <v>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0.25</v>
      </c>
      <c r="AZ6">
        <v>0.5</v>
      </c>
      <c r="BA6">
        <v>0.75</v>
      </c>
      <c r="BB6">
        <v>1</v>
      </c>
      <c r="BC6">
        <v>1.25</v>
      </c>
      <c r="BD6">
        <v>1.5</v>
      </c>
      <c r="BE6">
        <v>1.75</v>
      </c>
      <c r="BF6">
        <v>2</v>
      </c>
      <c r="BG6">
        <v>2.25</v>
      </c>
      <c r="BH6">
        <v>2.5</v>
      </c>
      <c r="BI6">
        <v>2.75</v>
      </c>
      <c r="BJ6">
        <v>3</v>
      </c>
      <c r="BK6">
        <v>3.25</v>
      </c>
      <c r="BL6">
        <v>3.5</v>
      </c>
      <c r="BM6">
        <v>3.75</v>
      </c>
      <c r="BN6">
        <v>4</v>
      </c>
      <c r="BO6">
        <v>4.25</v>
      </c>
      <c r="BP6">
        <v>4.5</v>
      </c>
      <c r="BQ6">
        <v>4.5</v>
      </c>
      <c r="BR6">
        <v>4.75</v>
      </c>
      <c r="BS6">
        <v>4.75</v>
      </c>
      <c r="BT6">
        <v>5</v>
      </c>
      <c r="BU6">
        <f>BT6+0.125</f>
        <v>5.125</v>
      </c>
      <c r="BV6">
        <f t="shared" si="0"/>
        <v>5.25</v>
      </c>
      <c r="BW6">
        <f t="shared" si="0"/>
        <v>5.375</v>
      </c>
      <c r="BX6">
        <f t="shared" si="0"/>
        <v>5.5</v>
      </c>
      <c r="BY6">
        <f t="shared" si="0"/>
        <v>5.625</v>
      </c>
      <c r="BZ6">
        <f t="shared" si="0"/>
        <v>5.75</v>
      </c>
      <c r="CA6">
        <f t="shared" si="0"/>
        <v>5.875</v>
      </c>
      <c r="CB6">
        <f t="shared" si="0"/>
        <v>6</v>
      </c>
      <c r="CC6">
        <f t="shared" si="0"/>
        <v>6.125</v>
      </c>
      <c r="CD6">
        <f t="shared" si="0"/>
        <v>6.25</v>
      </c>
      <c r="CE6">
        <f t="shared" si="0"/>
        <v>6.375</v>
      </c>
      <c r="CF6">
        <f t="shared" si="0"/>
        <v>6.5</v>
      </c>
      <c r="CG6">
        <f t="shared" si="0"/>
        <v>6.625</v>
      </c>
      <c r="CH6">
        <f t="shared" si="0"/>
        <v>6.75</v>
      </c>
      <c r="CI6">
        <f t="shared" si="0"/>
        <v>6.875</v>
      </c>
      <c r="CJ6">
        <f t="shared" si="0"/>
        <v>7</v>
      </c>
      <c r="CK6">
        <f t="shared" si="0"/>
        <v>7.125</v>
      </c>
      <c r="CL6">
        <f t="shared" si="0"/>
        <v>7.25</v>
      </c>
      <c r="CM6">
        <f t="shared" si="0"/>
        <v>7.375</v>
      </c>
      <c r="CN6">
        <f t="shared" si="0"/>
        <v>7.5</v>
      </c>
      <c r="CO6">
        <f t="shared" si="0"/>
        <v>7.625</v>
      </c>
      <c r="CP6">
        <f t="shared" si="0"/>
        <v>7.75</v>
      </c>
      <c r="CQ6">
        <f t="shared" si="0"/>
        <v>7.875</v>
      </c>
      <c r="CR6">
        <f t="shared" si="0"/>
        <v>8</v>
      </c>
      <c r="CS6">
        <f t="shared" si="0"/>
        <v>8.125</v>
      </c>
      <c r="CT6">
        <f t="shared" si="0"/>
        <v>8.25</v>
      </c>
      <c r="CU6">
        <f t="shared" si="0"/>
        <v>8.375</v>
      </c>
      <c r="CV6" t="s">
        <v>87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58</v>
      </c>
    </row>
    <row r="10" spans="1:100" x14ac:dyDescent="0.25">
      <c r="A10" t="s">
        <v>85</v>
      </c>
      <c r="B10">
        <v>36</v>
      </c>
      <c r="C10">
        <v>54</v>
      </c>
      <c r="D10">
        <v>72</v>
      </c>
      <c r="E10">
        <v>90</v>
      </c>
      <c r="F10">
        <v>108</v>
      </c>
      <c r="G10">
        <v>126</v>
      </c>
      <c r="H10">
        <v>144</v>
      </c>
      <c r="I10">
        <v>162</v>
      </c>
      <c r="J10">
        <v>180</v>
      </c>
      <c r="K10">
        <v>198</v>
      </c>
      <c r="L10">
        <v>216</v>
      </c>
      <c r="M10">
        <v>234</v>
      </c>
      <c r="N10">
        <v>252</v>
      </c>
      <c r="O10">
        <v>270</v>
      </c>
      <c r="P10">
        <v>288</v>
      </c>
      <c r="Q10">
        <v>306</v>
      </c>
      <c r="R10">
        <v>324</v>
      </c>
      <c r="S10">
        <v>342</v>
      </c>
      <c r="T10">
        <v>360</v>
      </c>
      <c r="U10">
        <v>378</v>
      </c>
      <c r="V10">
        <v>396</v>
      </c>
      <c r="W10">
        <v>414</v>
      </c>
      <c r="X10">
        <v>432</v>
      </c>
      <c r="Y10">
        <v>450</v>
      </c>
      <c r="Z10">
        <v>468</v>
      </c>
      <c r="AA10">
        <v>486</v>
      </c>
      <c r="AB10">
        <v>504</v>
      </c>
      <c r="AC10">
        <v>522</v>
      </c>
      <c r="AD10">
        <v>540</v>
      </c>
      <c r="AE10">
        <v>558</v>
      </c>
      <c r="AF10">
        <v>576</v>
      </c>
      <c r="AG10">
        <v>594</v>
      </c>
      <c r="AH10">
        <v>612</v>
      </c>
      <c r="AI10">
        <v>630</v>
      </c>
      <c r="AJ10">
        <v>648</v>
      </c>
      <c r="AK10">
        <v>666</v>
      </c>
      <c r="AL10">
        <v>684</v>
      </c>
      <c r="AM10">
        <v>702</v>
      </c>
      <c r="AN10">
        <v>720</v>
      </c>
      <c r="AO10">
        <v>738</v>
      </c>
      <c r="AP10">
        <v>756</v>
      </c>
      <c r="AQ10">
        <v>774</v>
      </c>
      <c r="AR10">
        <v>792</v>
      </c>
      <c r="AS10">
        <v>810</v>
      </c>
      <c r="AT10">
        <v>828</v>
      </c>
      <c r="AU10">
        <v>846</v>
      </c>
      <c r="AV10">
        <v>864</v>
      </c>
      <c r="AW10">
        <v>882</v>
      </c>
      <c r="AX10">
        <v>900</v>
      </c>
      <c r="AY10">
        <v>918</v>
      </c>
      <c r="AZ10">
        <v>936</v>
      </c>
      <c r="BA10">
        <v>954</v>
      </c>
      <c r="BB10">
        <v>972</v>
      </c>
      <c r="BC10">
        <v>990</v>
      </c>
      <c r="BD10">
        <v>1008</v>
      </c>
      <c r="BE10">
        <v>1026</v>
      </c>
      <c r="BF10">
        <v>1044</v>
      </c>
      <c r="BG10">
        <v>1062</v>
      </c>
      <c r="BH10">
        <v>1080</v>
      </c>
      <c r="BI10">
        <v>1098</v>
      </c>
      <c r="BJ10">
        <v>1116</v>
      </c>
      <c r="BK10">
        <v>1134</v>
      </c>
      <c r="BL10">
        <v>1152</v>
      </c>
      <c r="BM10">
        <v>1170</v>
      </c>
      <c r="BN10">
        <v>1188</v>
      </c>
      <c r="BO10">
        <v>1206</v>
      </c>
      <c r="BP10">
        <v>1224</v>
      </c>
      <c r="BQ10">
        <v>1242</v>
      </c>
      <c r="BR10">
        <v>1260</v>
      </c>
      <c r="BS10">
        <v>1278</v>
      </c>
      <c r="BT10">
        <v>1296</v>
      </c>
      <c r="BU10">
        <v>1314</v>
      </c>
      <c r="BV10">
        <v>1332</v>
      </c>
      <c r="BW10">
        <v>1350</v>
      </c>
      <c r="BX10">
        <v>1368</v>
      </c>
      <c r="BY10">
        <v>1386</v>
      </c>
      <c r="BZ10">
        <v>1404</v>
      </c>
      <c r="CA10">
        <v>1422</v>
      </c>
      <c r="CB10">
        <v>1440</v>
      </c>
      <c r="CC10">
        <v>1458</v>
      </c>
      <c r="CD10">
        <v>1476</v>
      </c>
      <c r="CE10">
        <v>1494</v>
      </c>
      <c r="CF10">
        <v>1512</v>
      </c>
      <c r="CG10">
        <v>1530</v>
      </c>
      <c r="CH10">
        <v>1548</v>
      </c>
      <c r="CI10">
        <v>1566</v>
      </c>
      <c r="CJ10">
        <v>1584</v>
      </c>
      <c r="CK10">
        <v>1602</v>
      </c>
      <c r="CL10">
        <v>1620</v>
      </c>
      <c r="CM10">
        <v>1638</v>
      </c>
      <c r="CN10">
        <v>1656</v>
      </c>
      <c r="CO10">
        <v>1674</v>
      </c>
      <c r="CP10">
        <v>1692</v>
      </c>
      <c r="CQ10">
        <v>1710</v>
      </c>
      <c r="CR10">
        <v>1728</v>
      </c>
      <c r="CS10">
        <v>1746</v>
      </c>
      <c r="CT10">
        <v>1764</v>
      </c>
      <c r="CU10">
        <v>1782</v>
      </c>
      <c r="CV10" t="s">
        <v>86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16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0.25</v>
      </c>
      <c r="AZ15">
        <v>0.5</v>
      </c>
      <c r="BA15">
        <v>0.75</v>
      </c>
      <c r="BB15">
        <v>1</v>
      </c>
      <c r="BC15">
        <v>1.25</v>
      </c>
      <c r="BD15">
        <v>1.5</v>
      </c>
      <c r="BE15">
        <v>1.75</v>
      </c>
      <c r="BF15">
        <v>2</v>
      </c>
      <c r="BG15">
        <v>2.25</v>
      </c>
      <c r="BH15">
        <v>2.5</v>
      </c>
      <c r="BI15">
        <v>2.75</v>
      </c>
      <c r="BJ15">
        <v>3</v>
      </c>
      <c r="BK15">
        <v>3.25</v>
      </c>
      <c r="BL15">
        <v>3.5</v>
      </c>
      <c r="BM15">
        <v>3.75</v>
      </c>
      <c r="BN15">
        <v>4</v>
      </c>
      <c r="BO15">
        <v>4.25</v>
      </c>
      <c r="BP15">
        <v>4.5</v>
      </c>
      <c r="BQ15">
        <v>4.5</v>
      </c>
      <c r="BR15">
        <v>4.75</v>
      </c>
      <c r="BS15">
        <v>4.75</v>
      </c>
      <c r="BT15">
        <v>5</v>
      </c>
      <c r="BU15">
        <f>BT15+0.125</f>
        <v>5.125</v>
      </c>
      <c r="BV15">
        <f t="shared" ref="BV15:CU15" si="1">BU15+0.125</f>
        <v>5.25</v>
      </c>
      <c r="BW15">
        <f t="shared" si="1"/>
        <v>5.375</v>
      </c>
      <c r="BX15">
        <f t="shared" si="1"/>
        <v>5.5</v>
      </c>
      <c r="BY15">
        <f t="shared" si="1"/>
        <v>5.625</v>
      </c>
      <c r="BZ15">
        <f t="shared" si="1"/>
        <v>5.75</v>
      </c>
      <c r="CA15">
        <f t="shared" si="1"/>
        <v>5.875</v>
      </c>
      <c r="CB15">
        <f t="shared" si="1"/>
        <v>6</v>
      </c>
      <c r="CC15">
        <f t="shared" si="1"/>
        <v>6.125</v>
      </c>
      <c r="CD15">
        <f t="shared" si="1"/>
        <v>6.25</v>
      </c>
      <c r="CE15">
        <f t="shared" si="1"/>
        <v>6.375</v>
      </c>
      <c r="CF15">
        <f t="shared" si="1"/>
        <v>6.5</v>
      </c>
      <c r="CG15">
        <f t="shared" si="1"/>
        <v>6.625</v>
      </c>
      <c r="CH15">
        <f t="shared" si="1"/>
        <v>6.75</v>
      </c>
      <c r="CI15">
        <f t="shared" si="1"/>
        <v>6.875</v>
      </c>
      <c r="CJ15">
        <f t="shared" si="1"/>
        <v>7</v>
      </c>
      <c r="CK15">
        <f t="shared" si="1"/>
        <v>7.125</v>
      </c>
      <c r="CL15">
        <f t="shared" si="1"/>
        <v>7.25</v>
      </c>
      <c r="CM15">
        <f t="shared" si="1"/>
        <v>7.375</v>
      </c>
      <c r="CN15">
        <f t="shared" si="1"/>
        <v>7.5</v>
      </c>
      <c r="CO15">
        <f t="shared" si="1"/>
        <v>7.625</v>
      </c>
      <c r="CP15">
        <f t="shared" si="1"/>
        <v>7.75</v>
      </c>
      <c r="CQ15">
        <f t="shared" si="1"/>
        <v>7.875</v>
      </c>
      <c r="CR15">
        <f t="shared" si="1"/>
        <v>8</v>
      </c>
      <c r="CS15">
        <f t="shared" si="1"/>
        <v>8.125</v>
      </c>
      <c r="CT15">
        <f t="shared" si="1"/>
        <v>8.25</v>
      </c>
      <c r="CU15">
        <f t="shared" si="1"/>
        <v>8.375</v>
      </c>
      <c r="CV15" t="s">
        <v>87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21</v>
      </c>
    </row>
    <row r="21" spans="1:100" x14ac:dyDescent="0.25">
      <c r="A21" t="s">
        <v>59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56</v>
      </c>
      <c r="B25">
        <v>5</v>
      </c>
      <c r="C25">
        <v>8</v>
      </c>
      <c r="D25">
        <v>10</v>
      </c>
      <c r="E25">
        <v>13</v>
      </c>
      <c r="F25">
        <v>15</v>
      </c>
      <c r="G25">
        <v>18</v>
      </c>
      <c r="H25">
        <v>20</v>
      </c>
      <c r="I25">
        <v>23</v>
      </c>
      <c r="J25">
        <v>25</v>
      </c>
      <c r="K25">
        <v>28</v>
      </c>
      <c r="L25">
        <v>30</v>
      </c>
      <c r="M25">
        <v>33</v>
      </c>
      <c r="N25">
        <v>35</v>
      </c>
      <c r="O25">
        <v>38</v>
      </c>
      <c r="P25">
        <v>40</v>
      </c>
      <c r="Q25">
        <v>43</v>
      </c>
      <c r="R25">
        <v>45</v>
      </c>
      <c r="S25">
        <v>48</v>
      </c>
      <c r="T25">
        <v>50</v>
      </c>
      <c r="U25">
        <v>53</v>
      </c>
      <c r="V25">
        <v>55</v>
      </c>
      <c r="W25">
        <v>58</v>
      </c>
      <c r="X25">
        <v>60</v>
      </c>
      <c r="Y25">
        <v>63</v>
      </c>
      <c r="Z25">
        <v>65</v>
      </c>
      <c r="AA25">
        <v>68</v>
      </c>
      <c r="AB25">
        <v>70</v>
      </c>
      <c r="AC25">
        <v>73</v>
      </c>
      <c r="AD25">
        <v>75</v>
      </c>
      <c r="AE25">
        <v>78</v>
      </c>
      <c r="AF25">
        <v>80</v>
      </c>
      <c r="AG25">
        <v>83</v>
      </c>
      <c r="AH25">
        <v>85</v>
      </c>
      <c r="AI25">
        <v>88</v>
      </c>
      <c r="AJ25">
        <v>90</v>
      </c>
      <c r="AK25">
        <v>93</v>
      </c>
      <c r="AL25">
        <v>95</v>
      </c>
      <c r="AM25">
        <v>98</v>
      </c>
      <c r="AN25">
        <v>100</v>
      </c>
      <c r="AO25">
        <v>103</v>
      </c>
      <c r="AP25">
        <v>105</v>
      </c>
      <c r="AQ25">
        <v>108</v>
      </c>
      <c r="AR25">
        <v>110</v>
      </c>
      <c r="AS25">
        <v>113</v>
      </c>
      <c r="AT25">
        <v>115</v>
      </c>
      <c r="AU25">
        <v>118</v>
      </c>
      <c r="AV25">
        <v>120</v>
      </c>
      <c r="AW25">
        <v>123</v>
      </c>
      <c r="AX25">
        <v>125</v>
      </c>
      <c r="AY25">
        <v>128</v>
      </c>
      <c r="AZ25">
        <v>130</v>
      </c>
      <c r="BA25">
        <v>133</v>
      </c>
      <c r="BB25">
        <v>135</v>
      </c>
      <c r="BC25">
        <v>138</v>
      </c>
      <c r="BD25">
        <v>140</v>
      </c>
      <c r="BE25">
        <v>143</v>
      </c>
      <c r="BF25">
        <v>145</v>
      </c>
      <c r="BG25">
        <v>148</v>
      </c>
      <c r="BH25">
        <v>150</v>
      </c>
      <c r="BI25">
        <v>153</v>
      </c>
      <c r="BJ25">
        <v>155</v>
      </c>
      <c r="BK25">
        <v>158</v>
      </c>
      <c r="BL25">
        <v>160</v>
      </c>
      <c r="BM25">
        <v>163</v>
      </c>
      <c r="BN25">
        <v>165</v>
      </c>
      <c r="BO25">
        <v>168</v>
      </c>
      <c r="BP25">
        <v>170</v>
      </c>
      <c r="BQ25">
        <v>173</v>
      </c>
      <c r="BR25">
        <v>175</v>
      </c>
      <c r="BS25">
        <v>178</v>
      </c>
      <c r="BT25">
        <v>180</v>
      </c>
      <c r="BU25">
        <v>183</v>
      </c>
      <c r="BV25">
        <v>185</v>
      </c>
      <c r="BW25">
        <v>188</v>
      </c>
      <c r="BX25">
        <v>190</v>
      </c>
      <c r="BY25">
        <v>193</v>
      </c>
      <c r="BZ25">
        <v>195</v>
      </c>
      <c r="CA25">
        <v>198</v>
      </c>
      <c r="CB25">
        <v>200</v>
      </c>
      <c r="CC25">
        <v>203</v>
      </c>
      <c r="CD25">
        <v>205</v>
      </c>
      <c r="CE25">
        <v>208</v>
      </c>
      <c r="CF25">
        <v>210</v>
      </c>
      <c r="CG25">
        <v>213</v>
      </c>
      <c r="CH25">
        <v>215</v>
      </c>
      <c r="CI25">
        <v>218</v>
      </c>
      <c r="CJ25">
        <v>220</v>
      </c>
      <c r="CK25">
        <v>223</v>
      </c>
      <c r="CL25">
        <v>225</v>
      </c>
      <c r="CM25">
        <v>228</v>
      </c>
      <c r="CN25">
        <v>230</v>
      </c>
      <c r="CO25">
        <v>233</v>
      </c>
      <c r="CP25">
        <v>235</v>
      </c>
      <c r="CQ25">
        <v>238</v>
      </c>
      <c r="CR25">
        <v>240</v>
      </c>
      <c r="CS25">
        <v>243</v>
      </c>
      <c r="CT25">
        <v>245</v>
      </c>
      <c r="CU25">
        <v>248</v>
      </c>
      <c r="CV25" t="s">
        <v>50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0.25</v>
      </c>
      <c r="AZ26">
        <v>0.5</v>
      </c>
      <c r="BA26">
        <v>0.75</v>
      </c>
      <c r="BB26">
        <v>1</v>
      </c>
      <c r="BC26">
        <v>1.25</v>
      </c>
      <c r="BD26">
        <v>1.5</v>
      </c>
      <c r="BE26">
        <v>1.75</v>
      </c>
      <c r="BF26">
        <v>2</v>
      </c>
      <c r="BG26">
        <v>2.25</v>
      </c>
      <c r="BH26">
        <v>2.5</v>
      </c>
      <c r="BI26">
        <v>2.75</v>
      </c>
      <c r="BJ26">
        <v>3</v>
      </c>
      <c r="BK26">
        <v>3.25</v>
      </c>
      <c r="BL26">
        <v>3.5</v>
      </c>
      <c r="BM26">
        <v>3.75</v>
      </c>
      <c r="BN26">
        <v>4</v>
      </c>
      <c r="BO26">
        <v>4.25</v>
      </c>
      <c r="BP26">
        <v>4.5</v>
      </c>
      <c r="BQ26">
        <v>4.5</v>
      </c>
      <c r="BR26">
        <v>4.75</v>
      </c>
      <c r="BS26">
        <v>4.75</v>
      </c>
      <c r="BT26">
        <v>5</v>
      </c>
      <c r="BU26">
        <f>BT26+0.125</f>
        <v>5.125</v>
      </c>
      <c r="BV26">
        <f t="shared" ref="BV26:CU26" si="2">BU26+0.125</f>
        <v>5.25</v>
      </c>
      <c r="BW26">
        <f t="shared" si="2"/>
        <v>5.375</v>
      </c>
      <c r="BX26">
        <f t="shared" si="2"/>
        <v>5.5</v>
      </c>
      <c r="BY26">
        <f t="shared" si="2"/>
        <v>5.625</v>
      </c>
      <c r="BZ26">
        <f t="shared" si="2"/>
        <v>5.75</v>
      </c>
      <c r="CA26">
        <f t="shared" si="2"/>
        <v>5.875</v>
      </c>
      <c r="CB26">
        <f t="shared" si="2"/>
        <v>6</v>
      </c>
      <c r="CC26">
        <f t="shared" si="2"/>
        <v>6.125</v>
      </c>
      <c r="CD26">
        <f t="shared" si="2"/>
        <v>6.25</v>
      </c>
      <c r="CE26">
        <f t="shared" si="2"/>
        <v>6.375</v>
      </c>
      <c r="CF26">
        <f t="shared" si="2"/>
        <v>6.5</v>
      </c>
      <c r="CG26">
        <f t="shared" si="2"/>
        <v>6.625</v>
      </c>
      <c r="CH26">
        <f t="shared" si="2"/>
        <v>6.75</v>
      </c>
      <c r="CI26">
        <f t="shared" si="2"/>
        <v>6.875</v>
      </c>
      <c r="CJ26">
        <f t="shared" si="2"/>
        <v>7</v>
      </c>
      <c r="CK26">
        <f t="shared" si="2"/>
        <v>7.125</v>
      </c>
      <c r="CL26">
        <f t="shared" si="2"/>
        <v>7.25</v>
      </c>
      <c r="CM26">
        <f t="shared" si="2"/>
        <v>7.375</v>
      </c>
      <c r="CN26">
        <f t="shared" si="2"/>
        <v>7.5</v>
      </c>
      <c r="CO26">
        <f t="shared" si="2"/>
        <v>7.625</v>
      </c>
      <c r="CP26">
        <f t="shared" si="2"/>
        <v>7.75</v>
      </c>
      <c r="CQ26">
        <f t="shared" si="2"/>
        <v>7.875</v>
      </c>
      <c r="CR26">
        <f t="shared" si="2"/>
        <v>8</v>
      </c>
      <c r="CS26">
        <f t="shared" si="2"/>
        <v>8.125</v>
      </c>
      <c r="CT26">
        <f t="shared" si="2"/>
        <v>8.25</v>
      </c>
      <c r="CU26">
        <f t="shared" si="2"/>
        <v>8.375</v>
      </c>
      <c r="CV26" t="s">
        <v>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V6"/>
  <sheetViews>
    <sheetView workbookViewId="0">
      <selection activeCell="A6" sqref="A6"/>
    </sheetView>
  </sheetViews>
  <sheetFormatPr defaultRowHeight="15" x14ac:dyDescent="0.25"/>
  <sheetData>
    <row r="1" spans="1:100" x14ac:dyDescent="0.25">
      <c r="A1" t="s">
        <v>78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</v>
      </c>
      <c r="AZ1">
        <v>1.75</v>
      </c>
      <c r="BA1">
        <v>2.5</v>
      </c>
      <c r="BB1">
        <v>3.25</v>
      </c>
      <c r="BC1">
        <v>4</v>
      </c>
      <c r="BD1">
        <v>4.75</v>
      </c>
      <c r="BE1">
        <v>5.5</v>
      </c>
      <c r="BF1">
        <v>6.25</v>
      </c>
      <c r="BG1">
        <v>7</v>
      </c>
      <c r="BH1">
        <v>7.75</v>
      </c>
      <c r="BI1">
        <v>8.5</v>
      </c>
      <c r="BJ1">
        <v>9.25</v>
      </c>
      <c r="BK1">
        <v>10</v>
      </c>
      <c r="BL1">
        <v>10.75</v>
      </c>
      <c r="BM1">
        <v>11.5</v>
      </c>
      <c r="BN1">
        <v>12.25</v>
      </c>
      <c r="BO1">
        <v>13</v>
      </c>
      <c r="BP1">
        <v>13.75</v>
      </c>
      <c r="BQ1">
        <v>13.75</v>
      </c>
      <c r="BR1">
        <v>14.5</v>
      </c>
      <c r="BS1">
        <v>14.5</v>
      </c>
      <c r="BT1">
        <v>15</v>
      </c>
      <c r="BU1">
        <f>BT1+0.25</f>
        <v>15.25</v>
      </c>
      <c r="BV1">
        <f t="shared" ref="BV1:CU1" si="0">BU1+0.25</f>
        <v>15.5</v>
      </c>
      <c r="BW1">
        <f t="shared" si="0"/>
        <v>15.75</v>
      </c>
      <c r="BX1">
        <f t="shared" si="0"/>
        <v>16</v>
      </c>
      <c r="BY1">
        <f t="shared" si="0"/>
        <v>16.25</v>
      </c>
      <c r="BZ1">
        <f t="shared" si="0"/>
        <v>16.5</v>
      </c>
      <c r="CA1">
        <f t="shared" si="0"/>
        <v>16.75</v>
      </c>
      <c r="CB1">
        <f t="shared" si="0"/>
        <v>17</v>
      </c>
      <c r="CC1">
        <f t="shared" si="0"/>
        <v>17.25</v>
      </c>
      <c r="CD1">
        <f t="shared" si="0"/>
        <v>17.5</v>
      </c>
      <c r="CE1">
        <f t="shared" si="0"/>
        <v>17.75</v>
      </c>
      <c r="CF1">
        <f t="shared" si="0"/>
        <v>18</v>
      </c>
      <c r="CG1">
        <f t="shared" si="0"/>
        <v>18.25</v>
      </c>
      <c r="CH1">
        <f t="shared" si="0"/>
        <v>18.5</v>
      </c>
      <c r="CI1">
        <f t="shared" si="0"/>
        <v>18.75</v>
      </c>
      <c r="CJ1">
        <f t="shared" si="0"/>
        <v>19</v>
      </c>
      <c r="CK1">
        <f t="shared" si="0"/>
        <v>19.25</v>
      </c>
      <c r="CL1">
        <f t="shared" si="0"/>
        <v>19.5</v>
      </c>
      <c r="CM1">
        <f t="shared" si="0"/>
        <v>19.75</v>
      </c>
      <c r="CN1">
        <f t="shared" si="0"/>
        <v>20</v>
      </c>
      <c r="CO1">
        <f t="shared" si="0"/>
        <v>20.25</v>
      </c>
      <c r="CP1">
        <f t="shared" si="0"/>
        <v>20.5</v>
      </c>
      <c r="CQ1">
        <f t="shared" si="0"/>
        <v>20.75</v>
      </c>
      <c r="CR1">
        <f t="shared" si="0"/>
        <v>21</v>
      </c>
      <c r="CS1">
        <f t="shared" si="0"/>
        <v>21.25</v>
      </c>
      <c r="CT1">
        <f t="shared" si="0"/>
        <v>21.5</v>
      </c>
      <c r="CU1">
        <f t="shared" si="0"/>
        <v>21.75</v>
      </c>
      <c r="CV1" t="s">
        <v>80</v>
      </c>
    </row>
    <row r="2" spans="1:100" x14ac:dyDescent="0.25">
      <c r="A2" t="s">
        <v>21</v>
      </c>
    </row>
    <row r="3" spans="1:100" x14ac:dyDescent="0.25">
      <c r="A3" t="s">
        <v>22</v>
      </c>
    </row>
    <row r="4" spans="1:100" x14ac:dyDescent="0.25">
      <c r="A4" t="s">
        <v>23</v>
      </c>
    </row>
    <row r="5" spans="1:100" x14ac:dyDescent="0.25">
      <c r="A5" t="s">
        <v>24</v>
      </c>
    </row>
    <row r="6" spans="1:100" x14ac:dyDescent="0.25">
      <c r="A6" t="s">
        <v>79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0.5</v>
      </c>
      <c r="AZ6">
        <v>1</v>
      </c>
      <c r="BA6">
        <v>1.5</v>
      </c>
      <c r="BB6">
        <v>2</v>
      </c>
      <c r="BC6">
        <v>2.5</v>
      </c>
      <c r="BD6">
        <v>3</v>
      </c>
      <c r="BE6">
        <v>3.5</v>
      </c>
      <c r="BF6">
        <v>4</v>
      </c>
      <c r="BG6">
        <v>4.5</v>
      </c>
      <c r="BH6">
        <v>5</v>
      </c>
      <c r="BI6">
        <v>5.5</v>
      </c>
      <c r="BJ6">
        <v>6</v>
      </c>
      <c r="BK6">
        <v>6.5</v>
      </c>
      <c r="BL6">
        <v>7</v>
      </c>
      <c r="BM6">
        <v>7.5</v>
      </c>
      <c r="BN6">
        <v>8</v>
      </c>
      <c r="BO6">
        <v>8.5</v>
      </c>
      <c r="BP6">
        <v>9</v>
      </c>
      <c r="BQ6">
        <v>9</v>
      </c>
      <c r="BR6">
        <v>9.5</v>
      </c>
      <c r="BS6">
        <v>9.5</v>
      </c>
      <c r="BT6">
        <v>10</v>
      </c>
      <c r="BU6">
        <f>BT6+0.25</f>
        <v>10.25</v>
      </c>
      <c r="BV6">
        <f t="shared" ref="BV6:CU6" si="1">BU6+0.25</f>
        <v>10.5</v>
      </c>
      <c r="BW6">
        <f t="shared" si="1"/>
        <v>10.75</v>
      </c>
      <c r="BX6">
        <f t="shared" si="1"/>
        <v>11</v>
      </c>
      <c r="BY6">
        <f t="shared" si="1"/>
        <v>11.25</v>
      </c>
      <c r="BZ6">
        <f t="shared" si="1"/>
        <v>11.5</v>
      </c>
      <c r="CA6">
        <f t="shared" si="1"/>
        <v>11.75</v>
      </c>
      <c r="CB6">
        <f t="shared" si="1"/>
        <v>12</v>
      </c>
      <c r="CC6">
        <f t="shared" si="1"/>
        <v>12.25</v>
      </c>
      <c r="CD6">
        <f t="shared" si="1"/>
        <v>12.5</v>
      </c>
      <c r="CE6">
        <f t="shared" si="1"/>
        <v>12.75</v>
      </c>
      <c r="CF6">
        <f t="shared" si="1"/>
        <v>13</v>
      </c>
      <c r="CG6">
        <f t="shared" si="1"/>
        <v>13.25</v>
      </c>
      <c r="CH6">
        <f t="shared" si="1"/>
        <v>13.5</v>
      </c>
      <c r="CI6">
        <f t="shared" si="1"/>
        <v>13.75</v>
      </c>
      <c r="CJ6">
        <f t="shared" si="1"/>
        <v>14</v>
      </c>
      <c r="CK6">
        <f t="shared" si="1"/>
        <v>14.25</v>
      </c>
      <c r="CL6">
        <f t="shared" si="1"/>
        <v>14.5</v>
      </c>
      <c r="CM6">
        <f t="shared" si="1"/>
        <v>14.75</v>
      </c>
      <c r="CN6">
        <f t="shared" si="1"/>
        <v>15</v>
      </c>
      <c r="CO6">
        <f t="shared" si="1"/>
        <v>15.25</v>
      </c>
      <c r="CP6">
        <f t="shared" si="1"/>
        <v>15.5</v>
      </c>
      <c r="CQ6">
        <f t="shared" si="1"/>
        <v>15.75</v>
      </c>
      <c r="CR6">
        <f t="shared" si="1"/>
        <v>16</v>
      </c>
      <c r="CS6">
        <f t="shared" si="1"/>
        <v>16.25</v>
      </c>
      <c r="CT6">
        <f t="shared" si="1"/>
        <v>16.5</v>
      </c>
      <c r="CU6">
        <f t="shared" si="1"/>
        <v>16.75</v>
      </c>
      <c r="CV6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V11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4" width="3" bestFit="1" customWidth="1"/>
    <col min="5" max="41" width="4" bestFit="1" customWidth="1"/>
    <col min="42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6" bestFit="1" customWidth="1"/>
    <col min="77" max="77" width="7" bestFit="1" customWidth="1"/>
    <col min="78" max="78" width="6" bestFit="1" customWidth="1"/>
    <col min="79" max="79" width="7" bestFit="1" customWidth="1"/>
    <col min="80" max="80" width="6" bestFit="1" customWidth="1"/>
    <col min="81" max="81" width="7" bestFit="1" customWidth="1"/>
    <col min="82" max="82" width="6" bestFit="1" customWidth="1"/>
    <col min="83" max="83" width="7" bestFit="1" customWidth="1"/>
    <col min="84" max="84" width="6" bestFit="1" customWidth="1"/>
    <col min="85" max="85" width="7" bestFit="1" customWidth="1"/>
    <col min="86" max="86" width="6" bestFit="1" customWidth="1"/>
    <col min="87" max="87" width="7" bestFit="1" customWidth="1"/>
    <col min="88" max="88" width="6" bestFit="1" customWidth="1"/>
    <col min="89" max="89" width="7" bestFit="1" customWidth="1"/>
    <col min="90" max="90" width="6" bestFit="1" customWidth="1"/>
    <col min="91" max="91" width="7" bestFit="1" customWidth="1"/>
    <col min="92" max="92" width="6" bestFit="1" customWidth="1"/>
    <col min="93" max="93" width="7" bestFit="1" customWidth="1"/>
    <col min="94" max="94" width="6" bestFit="1" customWidth="1"/>
    <col min="95" max="95" width="7" bestFit="1" customWidth="1"/>
    <col min="96" max="96" width="6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  <col min="101" max="101" width="3.5703125" bestFit="1" customWidth="1"/>
  </cols>
  <sheetData>
    <row r="1" spans="1:100" x14ac:dyDescent="0.25">
      <c r="A1" t="s">
        <v>48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1.5</v>
      </c>
      <c r="AZ1">
        <v>3</v>
      </c>
      <c r="BA1">
        <v>4.5</v>
      </c>
      <c r="BB1">
        <v>6</v>
      </c>
      <c r="BC1">
        <v>7.5</v>
      </c>
      <c r="BD1">
        <v>9</v>
      </c>
      <c r="BE1">
        <v>10.5</v>
      </c>
      <c r="BF1">
        <v>12</v>
      </c>
      <c r="BG1">
        <v>13.5</v>
      </c>
      <c r="BH1">
        <v>15</v>
      </c>
      <c r="BI1">
        <v>16.5</v>
      </c>
      <c r="BJ1">
        <v>18</v>
      </c>
      <c r="BK1">
        <v>19.5</v>
      </c>
      <c r="BL1">
        <v>21</v>
      </c>
      <c r="BM1">
        <v>22.5</v>
      </c>
      <c r="BN1">
        <v>24</v>
      </c>
      <c r="BO1">
        <v>25.5</v>
      </c>
      <c r="BP1">
        <v>27</v>
      </c>
      <c r="BQ1">
        <v>27</v>
      </c>
      <c r="BR1">
        <v>28.5</v>
      </c>
      <c r="BS1">
        <v>28.5</v>
      </c>
      <c r="BT1">
        <v>30</v>
      </c>
      <c r="BU1">
        <f>BT1+0.25</f>
        <v>30.25</v>
      </c>
      <c r="BV1">
        <f t="shared" ref="BV1:CU1" si="0">BU1+0.25</f>
        <v>30.5</v>
      </c>
      <c r="BW1">
        <f t="shared" si="0"/>
        <v>30.75</v>
      </c>
      <c r="BX1">
        <f t="shared" si="0"/>
        <v>31</v>
      </c>
      <c r="BY1">
        <f t="shared" si="0"/>
        <v>31.25</v>
      </c>
      <c r="BZ1">
        <f t="shared" si="0"/>
        <v>31.5</v>
      </c>
      <c r="CA1">
        <f t="shared" si="0"/>
        <v>31.75</v>
      </c>
      <c r="CB1">
        <f t="shared" si="0"/>
        <v>32</v>
      </c>
      <c r="CC1">
        <f t="shared" si="0"/>
        <v>32.25</v>
      </c>
      <c r="CD1">
        <f t="shared" si="0"/>
        <v>32.5</v>
      </c>
      <c r="CE1">
        <f t="shared" si="0"/>
        <v>32.75</v>
      </c>
      <c r="CF1">
        <f t="shared" si="0"/>
        <v>33</v>
      </c>
      <c r="CG1">
        <f t="shared" si="0"/>
        <v>33.25</v>
      </c>
      <c r="CH1">
        <f t="shared" si="0"/>
        <v>33.5</v>
      </c>
      <c r="CI1">
        <f t="shared" si="0"/>
        <v>33.75</v>
      </c>
      <c r="CJ1">
        <f t="shared" si="0"/>
        <v>34</v>
      </c>
      <c r="CK1">
        <f t="shared" si="0"/>
        <v>34.25</v>
      </c>
      <c r="CL1">
        <f t="shared" si="0"/>
        <v>34.5</v>
      </c>
      <c r="CM1">
        <f t="shared" si="0"/>
        <v>34.75</v>
      </c>
      <c r="CN1">
        <f t="shared" si="0"/>
        <v>35</v>
      </c>
      <c r="CO1">
        <f t="shared" si="0"/>
        <v>35.25</v>
      </c>
      <c r="CP1">
        <f t="shared" si="0"/>
        <v>35.5</v>
      </c>
      <c r="CQ1">
        <f t="shared" si="0"/>
        <v>35.75</v>
      </c>
      <c r="CR1">
        <f t="shared" si="0"/>
        <v>36</v>
      </c>
      <c r="CS1">
        <f t="shared" si="0"/>
        <v>36.25</v>
      </c>
      <c r="CT1">
        <f t="shared" si="0"/>
        <v>36.5</v>
      </c>
      <c r="CU1">
        <f t="shared" si="0"/>
        <v>36.75</v>
      </c>
      <c r="CV1" t="s">
        <v>90</v>
      </c>
    </row>
    <row r="2" spans="1:100" x14ac:dyDescent="0.25">
      <c r="A2" t="s">
        <v>71</v>
      </c>
      <c r="B2">
        <v>8</v>
      </c>
      <c r="C2">
        <v>12</v>
      </c>
      <c r="D2">
        <v>16</v>
      </c>
      <c r="E2">
        <v>20</v>
      </c>
      <c r="F2">
        <v>24</v>
      </c>
      <c r="G2">
        <v>28</v>
      </c>
      <c r="H2">
        <v>32</v>
      </c>
      <c r="I2">
        <v>36</v>
      </c>
      <c r="J2">
        <v>40</v>
      </c>
      <c r="K2">
        <v>44</v>
      </c>
      <c r="L2">
        <v>48</v>
      </c>
      <c r="M2">
        <v>52</v>
      </c>
      <c r="N2">
        <v>56</v>
      </c>
      <c r="O2">
        <v>60</v>
      </c>
      <c r="P2">
        <v>64</v>
      </c>
      <c r="Q2">
        <v>68</v>
      </c>
      <c r="R2">
        <v>72</v>
      </c>
      <c r="S2">
        <v>76</v>
      </c>
      <c r="T2">
        <v>80</v>
      </c>
      <c r="U2">
        <v>84</v>
      </c>
      <c r="V2">
        <v>88</v>
      </c>
      <c r="W2">
        <v>92</v>
      </c>
      <c r="X2">
        <v>96</v>
      </c>
      <c r="Y2">
        <v>100</v>
      </c>
      <c r="Z2">
        <v>104</v>
      </c>
      <c r="AA2">
        <v>108</v>
      </c>
      <c r="AB2">
        <v>112</v>
      </c>
      <c r="AC2">
        <v>116</v>
      </c>
      <c r="AD2">
        <v>120</v>
      </c>
      <c r="AE2">
        <v>124</v>
      </c>
      <c r="AF2">
        <v>128</v>
      </c>
      <c r="AG2">
        <v>132</v>
      </c>
      <c r="AH2">
        <v>136</v>
      </c>
      <c r="AI2">
        <v>140</v>
      </c>
      <c r="AJ2">
        <v>144</v>
      </c>
      <c r="AK2">
        <v>148</v>
      </c>
      <c r="AL2">
        <v>152</v>
      </c>
      <c r="AM2">
        <v>156</v>
      </c>
      <c r="AN2">
        <v>160</v>
      </c>
      <c r="AO2">
        <v>164</v>
      </c>
      <c r="AP2">
        <v>168</v>
      </c>
      <c r="AQ2">
        <v>172</v>
      </c>
      <c r="AR2">
        <v>176</v>
      </c>
      <c r="AS2">
        <v>180</v>
      </c>
      <c r="AT2">
        <v>184</v>
      </c>
      <c r="AU2">
        <v>188</v>
      </c>
      <c r="AV2">
        <v>192</v>
      </c>
      <c r="AW2">
        <v>196</v>
      </c>
      <c r="AX2">
        <v>200</v>
      </c>
      <c r="AY2">
        <v>204</v>
      </c>
      <c r="AZ2">
        <v>208</v>
      </c>
      <c r="BA2">
        <v>212</v>
      </c>
      <c r="BB2">
        <v>216</v>
      </c>
      <c r="BC2">
        <v>220</v>
      </c>
      <c r="BD2">
        <v>224</v>
      </c>
      <c r="BE2">
        <v>228</v>
      </c>
      <c r="BF2">
        <v>232</v>
      </c>
      <c r="BG2">
        <v>236</v>
      </c>
      <c r="BH2">
        <v>240</v>
      </c>
      <c r="BI2">
        <v>244</v>
      </c>
      <c r="BJ2">
        <v>248</v>
      </c>
      <c r="BK2">
        <v>252</v>
      </c>
      <c r="BL2">
        <v>256</v>
      </c>
      <c r="BM2">
        <v>260</v>
      </c>
      <c r="BN2">
        <v>264</v>
      </c>
      <c r="BO2">
        <v>268</v>
      </c>
      <c r="BP2">
        <v>272</v>
      </c>
      <c r="BQ2">
        <v>276</v>
      </c>
      <c r="BR2">
        <v>280</v>
      </c>
      <c r="BS2">
        <v>284</v>
      </c>
      <c r="BT2">
        <v>288</v>
      </c>
      <c r="BU2">
        <v>292</v>
      </c>
      <c r="BV2">
        <v>296</v>
      </c>
      <c r="BW2">
        <v>300</v>
      </c>
      <c r="BX2">
        <v>304</v>
      </c>
      <c r="BY2">
        <v>308</v>
      </c>
      <c r="BZ2">
        <v>312</v>
      </c>
      <c r="CA2">
        <v>316</v>
      </c>
      <c r="CB2">
        <v>320</v>
      </c>
      <c r="CC2">
        <v>324</v>
      </c>
      <c r="CD2">
        <v>328</v>
      </c>
      <c r="CE2">
        <v>332</v>
      </c>
      <c r="CF2">
        <v>336</v>
      </c>
      <c r="CG2">
        <v>340</v>
      </c>
      <c r="CH2">
        <v>344</v>
      </c>
      <c r="CI2">
        <v>348</v>
      </c>
      <c r="CJ2">
        <v>352</v>
      </c>
      <c r="CK2">
        <v>356</v>
      </c>
      <c r="CL2">
        <v>360</v>
      </c>
      <c r="CM2">
        <v>364</v>
      </c>
      <c r="CN2">
        <v>368</v>
      </c>
      <c r="CO2">
        <v>372</v>
      </c>
      <c r="CP2">
        <v>376</v>
      </c>
      <c r="CQ2">
        <v>380</v>
      </c>
      <c r="CR2">
        <v>384</v>
      </c>
      <c r="CS2">
        <v>388</v>
      </c>
      <c r="CT2">
        <v>392</v>
      </c>
      <c r="CU2">
        <v>396</v>
      </c>
      <c r="CV2" t="s">
        <v>4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1.25</v>
      </c>
      <c r="AZ3">
        <v>2.5</v>
      </c>
      <c r="BA3">
        <v>3.75</v>
      </c>
      <c r="BB3">
        <v>5</v>
      </c>
      <c r="BC3">
        <v>6.25</v>
      </c>
      <c r="BD3">
        <v>7.5</v>
      </c>
      <c r="BE3">
        <v>8.75</v>
      </c>
      <c r="BF3">
        <v>10</v>
      </c>
      <c r="BG3">
        <v>11.25</v>
      </c>
      <c r="BH3">
        <v>12.5</v>
      </c>
      <c r="BI3">
        <v>13.75</v>
      </c>
      <c r="BJ3">
        <v>15</v>
      </c>
      <c r="BK3">
        <v>16.25</v>
      </c>
      <c r="BL3">
        <v>17.5</v>
      </c>
      <c r="BM3">
        <v>18.75</v>
      </c>
      <c r="BN3">
        <v>20</v>
      </c>
      <c r="BO3">
        <v>21.25</v>
      </c>
      <c r="BP3">
        <v>22.5</v>
      </c>
      <c r="BQ3">
        <v>22.5</v>
      </c>
      <c r="BR3">
        <v>23.75</v>
      </c>
      <c r="BS3">
        <v>23.75</v>
      </c>
      <c r="BT3">
        <v>25</v>
      </c>
      <c r="BU3">
        <f>BT3+0.125</f>
        <v>25.125</v>
      </c>
      <c r="BV3">
        <f t="shared" ref="BV3:CU3" si="1">BU3+0.125</f>
        <v>25.25</v>
      </c>
      <c r="BW3">
        <f t="shared" si="1"/>
        <v>25.375</v>
      </c>
      <c r="BX3">
        <f t="shared" si="1"/>
        <v>25.5</v>
      </c>
      <c r="BY3">
        <f t="shared" si="1"/>
        <v>25.625</v>
      </c>
      <c r="BZ3">
        <f t="shared" si="1"/>
        <v>25.75</v>
      </c>
      <c r="CA3">
        <f t="shared" si="1"/>
        <v>25.875</v>
      </c>
      <c r="CB3">
        <f t="shared" si="1"/>
        <v>26</v>
      </c>
      <c r="CC3">
        <f t="shared" si="1"/>
        <v>26.125</v>
      </c>
      <c r="CD3">
        <f t="shared" si="1"/>
        <v>26.25</v>
      </c>
      <c r="CE3">
        <f t="shared" si="1"/>
        <v>26.375</v>
      </c>
      <c r="CF3">
        <f t="shared" si="1"/>
        <v>26.5</v>
      </c>
      <c r="CG3">
        <f t="shared" si="1"/>
        <v>26.625</v>
      </c>
      <c r="CH3">
        <f t="shared" si="1"/>
        <v>26.75</v>
      </c>
      <c r="CI3">
        <f t="shared" si="1"/>
        <v>26.875</v>
      </c>
      <c r="CJ3">
        <f t="shared" si="1"/>
        <v>27</v>
      </c>
      <c r="CK3">
        <f t="shared" si="1"/>
        <v>27.125</v>
      </c>
      <c r="CL3">
        <f t="shared" si="1"/>
        <v>27.25</v>
      </c>
      <c r="CM3">
        <f t="shared" si="1"/>
        <v>27.375</v>
      </c>
      <c r="CN3">
        <f t="shared" si="1"/>
        <v>27.5</v>
      </c>
      <c r="CO3">
        <f t="shared" si="1"/>
        <v>27.625</v>
      </c>
      <c r="CP3">
        <f t="shared" si="1"/>
        <v>27.75</v>
      </c>
      <c r="CQ3">
        <f t="shared" si="1"/>
        <v>27.875</v>
      </c>
      <c r="CR3">
        <f t="shared" si="1"/>
        <v>28</v>
      </c>
      <c r="CS3">
        <f t="shared" si="1"/>
        <v>28.125</v>
      </c>
      <c r="CT3">
        <f t="shared" si="1"/>
        <v>28.25</v>
      </c>
      <c r="CU3">
        <f t="shared" si="1"/>
        <v>28.375</v>
      </c>
      <c r="CV3" t="s">
        <v>70</v>
      </c>
    </row>
    <row r="4" spans="1:100" x14ac:dyDescent="0.25">
      <c r="A4" t="s">
        <v>51</v>
      </c>
      <c r="B4">
        <v>5</v>
      </c>
      <c r="C4">
        <v>8</v>
      </c>
      <c r="D4">
        <v>10</v>
      </c>
      <c r="E4">
        <v>13</v>
      </c>
      <c r="F4">
        <v>15</v>
      </c>
      <c r="G4">
        <v>18</v>
      </c>
      <c r="H4">
        <v>20</v>
      </c>
      <c r="I4">
        <v>23</v>
      </c>
      <c r="J4">
        <v>25</v>
      </c>
      <c r="K4">
        <v>28</v>
      </c>
      <c r="L4">
        <v>30</v>
      </c>
      <c r="M4">
        <v>33</v>
      </c>
      <c r="N4">
        <v>35</v>
      </c>
      <c r="O4">
        <v>38</v>
      </c>
      <c r="P4">
        <v>40</v>
      </c>
      <c r="Q4">
        <v>43</v>
      </c>
      <c r="R4">
        <v>45</v>
      </c>
      <c r="S4">
        <v>48</v>
      </c>
      <c r="T4">
        <v>50</v>
      </c>
      <c r="U4">
        <v>53</v>
      </c>
      <c r="V4">
        <v>55</v>
      </c>
      <c r="W4">
        <v>58</v>
      </c>
      <c r="X4">
        <v>60</v>
      </c>
      <c r="Y4">
        <v>63</v>
      </c>
      <c r="Z4">
        <v>65</v>
      </c>
      <c r="AA4">
        <v>68</v>
      </c>
      <c r="AB4">
        <v>70</v>
      </c>
      <c r="AC4">
        <v>73</v>
      </c>
      <c r="AD4">
        <v>75</v>
      </c>
      <c r="AE4">
        <v>78</v>
      </c>
      <c r="AF4">
        <v>80</v>
      </c>
      <c r="AG4">
        <v>83</v>
      </c>
      <c r="AH4">
        <v>85</v>
      </c>
      <c r="AI4">
        <v>88</v>
      </c>
      <c r="AJ4">
        <v>90</v>
      </c>
      <c r="AK4">
        <v>93</v>
      </c>
      <c r="AL4">
        <v>95</v>
      </c>
      <c r="AM4">
        <v>98</v>
      </c>
      <c r="AN4">
        <v>100</v>
      </c>
      <c r="AO4">
        <v>103</v>
      </c>
      <c r="AP4">
        <v>105</v>
      </c>
      <c r="AQ4">
        <v>108</v>
      </c>
      <c r="AR4">
        <v>110</v>
      </c>
      <c r="AS4">
        <v>113</v>
      </c>
      <c r="AT4">
        <v>115</v>
      </c>
      <c r="AU4">
        <v>118</v>
      </c>
      <c r="AV4">
        <v>120</v>
      </c>
      <c r="AW4">
        <v>123</v>
      </c>
      <c r="AX4">
        <v>125</v>
      </c>
      <c r="AY4">
        <v>128</v>
      </c>
      <c r="AZ4">
        <v>130</v>
      </c>
      <c r="BA4">
        <v>133</v>
      </c>
      <c r="BB4">
        <v>135</v>
      </c>
      <c r="BC4">
        <v>138</v>
      </c>
      <c r="BD4">
        <v>140</v>
      </c>
      <c r="BE4">
        <v>143</v>
      </c>
      <c r="BF4">
        <v>145</v>
      </c>
      <c r="BG4">
        <v>148</v>
      </c>
      <c r="BH4">
        <v>150</v>
      </c>
      <c r="BI4">
        <v>153</v>
      </c>
      <c r="BJ4">
        <v>155</v>
      </c>
      <c r="BK4">
        <v>158</v>
      </c>
      <c r="BL4">
        <v>160</v>
      </c>
      <c r="BM4">
        <v>163</v>
      </c>
      <c r="BN4">
        <v>165</v>
      </c>
      <c r="BO4">
        <v>168</v>
      </c>
      <c r="BP4">
        <v>170</v>
      </c>
      <c r="BQ4">
        <v>173</v>
      </c>
      <c r="BR4">
        <v>175</v>
      </c>
      <c r="BS4">
        <v>178</v>
      </c>
      <c r="BT4">
        <v>180</v>
      </c>
      <c r="BU4">
        <v>183</v>
      </c>
      <c r="BV4">
        <v>185</v>
      </c>
      <c r="BW4">
        <v>188</v>
      </c>
      <c r="BX4">
        <v>190</v>
      </c>
      <c r="BY4">
        <v>193</v>
      </c>
      <c r="BZ4">
        <v>195</v>
      </c>
      <c r="CA4">
        <v>198</v>
      </c>
      <c r="CB4">
        <v>200</v>
      </c>
      <c r="CC4">
        <v>203</v>
      </c>
      <c r="CD4">
        <v>205</v>
      </c>
      <c r="CE4">
        <v>208</v>
      </c>
      <c r="CF4">
        <v>210</v>
      </c>
      <c r="CG4">
        <v>213</v>
      </c>
      <c r="CH4">
        <v>215</v>
      </c>
      <c r="CI4">
        <v>218</v>
      </c>
      <c r="CJ4">
        <v>220</v>
      </c>
      <c r="CK4">
        <v>223</v>
      </c>
      <c r="CL4">
        <v>225</v>
      </c>
      <c r="CM4">
        <v>228</v>
      </c>
      <c r="CN4">
        <v>230</v>
      </c>
      <c r="CO4">
        <v>233</v>
      </c>
      <c r="CP4">
        <v>235</v>
      </c>
      <c r="CQ4">
        <v>238</v>
      </c>
      <c r="CR4">
        <v>240</v>
      </c>
      <c r="CS4">
        <v>243</v>
      </c>
      <c r="CT4">
        <v>245</v>
      </c>
      <c r="CU4">
        <v>248</v>
      </c>
      <c r="CV4" t="s">
        <v>50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0.5</v>
      </c>
      <c r="AZ5">
        <v>1</v>
      </c>
      <c r="BA5">
        <v>1.5</v>
      </c>
      <c r="BB5">
        <v>2</v>
      </c>
      <c r="BC5">
        <v>2.5</v>
      </c>
      <c r="BD5">
        <v>3</v>
      </c>
      <c r="BE5">
        <v>3.5</v>
      </c>
      <c r="BF5">
        <v>4</v>
      </c>
      <c r="BG5">
        <v>4.5</v>
      </c>
      <c r="BH5">
        <v>5</v>
      </c>
      <c r="BI5">
        <v>5.5</v>
      </c>
      <c r="BJ5">
        <v>6</v>
      </c>
      <c r="BK5">
        <v>6.5</v>
      </c>
      <c r="BL5">
        <v>7</v>
      </c>
      <c r="BM5">
        <v>7.5</v>
      </c>
      <c r="BN5">
        <v>8</v>
      </c>
      <c r="BO5">
        <v>8.5</v>
      </c>
      <c r="BP5">
        <v>9</v>
      </c>
      <c r="BQ5">
        <v>9</v>
      </c>
      <c r="BR5">
        <v>9.5</v>
      </c>
      <c r="BS5">
        <v>9.5</v>
      </c>
      <c r="BT5">
        <v>10</v>
      </c>
      <c r="BU5">
        <f>BT5+0.25</f>
        <v>10.25</v>
      </c>
      <c r="BV5">
        <f t="shared" ref="BV5:CU5" si="2">BU5+0.25</f>
        <v>10.5</v>
      </c>
      <c r="BW5">
        <f t="shared" si="2"/>
        <v>10.75</v>
      </c>
      <c r="BX5">
        <f t="shared" si="2"/>
        <v>11</v>
      </c>
      <c r="BY5">
        <f t="shared" si="2"/>
        <v>11.25</v>
      </c>
      <c r="BZ5">
        <f t="shared" si="2"/>
        <v>11.5</v>
      </c>
      <c r="CA5">
        <f t="shared" si="2"/>
        <v>11.75</v>
      </c>
      <c r="CB5">
        <f t="shared" si="2"/>
        <v>12</v>
      </c>
      <c r="CC5">
        <f t="shared" si="2"/>
        <v>12.25</v>
      </c>
      <c r="CD5">
        <f t="shared" si="2"/>
        <v>12.5</v>
      </c>
      <c r="CE5">
        <f t="shared" si="2"/>
        <v>12.75</v>
      </c>
      <c r="CF5">
        <f t="shared" si="2"/>
        <v>13</v>
      </c>
      <c r="CG5">
        <f t="shared" si="2"/>
        <v>13.25</v>
      </c>
      <c r="CH5">
        <f t="shared" si="2"/>
        <v>13.5</v>
      </c>
      <c r="CI5">
        <f t="shared" si="2"/>
        <v>13.75</v>
      </c>
      <c r="CJ5">
        <f t="shared" si="2"/>
        <v>14</v>
      </c>
      <c r="CK5">
        <f t="shared" si="2"/>
        <v>14.25</v>
      </c>
      <c r="CL5">
        <f t="shared" si="2"/>
        <v>14.5</v>
      </c>
      <c r="CM5">
        <f t="shared" si="2"/>
        <v>14.75</v>
      </c>
      <c r="CN5">
        <f t="shared" si="2"/>
        <v>15</v>
      </c>
      <c r="CO5">
        <f t="shared" si="2"/>
        <v>15.25</v>
      </c>
      <c r="CP5">
        <f t="shared" si="2"/>
        <v>15.5</v>
      </c>
      <c r="CQ5">
        <f t="shared" si="2"/>
        <v>15.75</v>
      </c>
      <c r="CR5">
        <f t="shared" si="2"/>
        <v>16</v>
      </c>
      <c r="CS5">
        <f t="shared" si="2"/>
        <v>16.25</v>
      </c>
      <c r="CT5">
        <f t="shared" si="2"/>
        <v>16.5</v>
      </c>
      <c r="CU5">
        <f t="shared" si="2"/>
        <v>16.75</v>
      </c>
      <c r="CV5" t="s">
        <v>57</v>
      </c>
    </row>
    <row r="6" spans="1:100" x14ac:dyDescent="0.25">
      <c r="A6" t="s">
        <v>53</v>
      </c>
      <c r="B6">
        <v>46</v>
      </c>
      <c r="C6">
        <v>70</v>
      </c>
      <c r="D6">
        <v>94</v>
      </c>
      <c r="E6">
        <v>118</v>
      </c>
      <c r="F6">
        <v>142</v>
      </c>
      <c r="G6">
        <v>166</v>
      </c>
      <c r="H6">
        <v>190</v>
      </c>
      <c r="I6">
        <v>214</v>
      </c>
      <c r="J6">
        <v>238</v>
      </c>
      <c r="K6">
        <v>262</v>
      </c>
      <c r="L6">
        <v>286</v>
      </c>
      <c r="M6">
        <v>310</v>
      </c>
      <c r="N6">
        <v>334</v>
      </c>
      <c r="O6">
        <v>358</v>
      </c>
      <c r="P6">
        <v>382</v>
      </c>
      <c r="Q6">
        <v>406</v>
      </c>
      <c r="R6">
        <v>430</v>
      </c>
      <c r="S6">
        <v>454</v>
      </c>
      <c r="T6">
        <v>478</v>
      </c>
      <c r="U6">
        <v>502</v>
      </c>
      <c r="V6">
        <v>526</v>
      </c>
      <c r="W6">
        <v>550</v>
      </c>
      <c r="X6">
        <v>574</v>
      </c>
      <c r="Y6">
        <v>598</v>
      </c>
      <c r="Z6">
        <v>622</v>
      </c>
      <c r="AA6">
        <v>646</v>
      </c>
      <c r="AB6">
        <v>670</v>
      </c>
      <c r="AC6">
        <v>694</v>
      </c>
      <c r="AD6">
        <v>718</v>
      </c>
      <c r="AE6">
        <v>742</v>
      </c>
      <c r="AF6">
        <v>766</v>
      </c>
      <c r="AG6">
        <v>790</v>
      </c>
      <c r="AH6">
        <v>814</v>
      </c>
      <c r="AI6">
        <v>838</v>
      </c>
      <c r="AJ6">
        <v>862</v>
      </c>
      <c r="AK6">
        <v>886</v>
      </c>
      <c r="AL6">
        <v>910</v>
      </c>
      <c r="AM6">
        <v>934</v>
      </c>
      <c r="AN6">
        <v>958</v>
      </c>
      <c r="AO6">
        <v>982</v>
      </c>
      <c r="AP6">
        <v>1006</v>
      </c>
      <c r="AQ6">
        <v>1030</v>
      </c>
      <c r="AR6">
        <v>1054</v>
      </c>
      <c r="AS6">
        <v>1078</v>
      </c>
      <c r="AT6">
        <v>1102</v>
      </c>
      <c r="AU6">
        <v>1126</v>
      </c>
      <c r="AV6">
        <v>1150</v>
      </c>
      <c r="AW6">
        <v>1174</v>
      </c>
      <c r="AX6">
        <v>1198</v>
      </c>
      <c r="AY6">
        <v>1222</v>
      </c>
      <c r="AZ6">
        <v>1246</v>
      </c>
      <c r="BA6">
        <v>1270</v>
      </c>
      <c r="BB6">
        <v>1294</v>
      </c>
      <c r="BC6">
        <v>1318</v>
      </c>
      <c r="BD6">
        <v>1342</v>
      </c>
      <c r="BE6">
        <v>1366</v>
      </c>
      <c r="BF6">
        <v>1390</v>
      </c>
      <c r="BG6">
        <v>1414</v>
      </c>
      <c r="BH6">
        <v>1438</v>
      </c>
      <c r="BI6">
        <v>1462</v>
      </c>
      <c r="BJ6">
        <v>1486</v>
      </c>
      <c r="BK6">
        <v>1510</v>
      </c>
      <c r="BL6">
        <v>1534</v>
      </c>
      <c r="BM6">
        <v>1558</v>
      </c>
      <c r="BN6">
        <v>1582</v>
      </c>
      <c r="BO6">
        <v>1606</v>
      </c>
      <c r="BP6">
        <v>1630</v>
      </c>
      <c r="BQ6">
        <v>1654</v>
      </c>
      <c r="BR6">
        <v>1678</v>
      </c>
      <c r="BS6">
        <v>1702</v>
      </c>
      <c r="BT6">
        <v>1726</v>
      </c>
      <c r="BU6">
        <v>1750</v>
      </c>
      <c r="BV6">
        <v>1774</v>
      </c>
      <c r="BW6">
        <v>1798</v>
      </c>
      <c r="BX6">
        <v>1822</v>
      </c>
      <c r="BY6">
        <v>1846</v>
      </c>
      <c r="BZ6">
        <v>1870</v>
      </c>
      <c r="CA6">
        <v>1894</v>
      </c>
      <c r="CB6">
        <v>1918</v>
      </c>
      <c r="CC6">
        <v>1942</v>
      </c>
      <c r="CD6">
        <v>1966</v>
      </c>
      <c r="CE6">
        <v>1990</v>
      </c>
      <c r="CF6">
        <v>2014</v>
      </c>
      <c r="CG6">
        <v>2038</v>
      </c>
      <c r="CH6">
        <v>2062</v>
      </c>
      <c r="CI6">
        <v>2086</v>
      </c>
      <c r="CJ6">
        <v>2110</v>
      </c>
      <c r="CK6">
        <v>2134</v>
      </c>
      <c r="CL6">
        <v>2158</v>
      </c>
      <c r="CM6">
        <v>2182</v>
      </c>
      <c r="CN6">
        <v>2206</v>
      </c>
      <c r="CO6">
        <v>2230</v>
      </c>
      <c r="CP6">
        <v>2254</v>
      </c>
      <c r="CQ6">
        <v>2278</v>
      </c>
      <c r="CR6">
        <v>2302</v>
      </c>
      <c r="CS6">
        <v>2326</v>
      </c>
      <c r="CT6">
        <v>2350</v>
      </c>
      <c r="CU6">
        <v>2374</v>
      </c>
      <c r="CV6" t="s">
        <v>74</v>
      </c>
    </row>
    <row r="7" spans="1:100" x14ac:dyDescent="0.25">
      <c r="A7" t="s">
        <v>88</v>
      </c>
      <c r="B7">
        <v>26</v>
      </c>
      <c r="C7">
        <v>39</v>
      </c>
      <c r="D7">
        <v>52</v>
      </c>
      <c r="E7">
        <v>65</v>
      </c>
      <c r="F7">
        <v>78</v>
      </c>
      <c r="G7">
        <v>91</v>
      </c>
      <c r="H7">
        <v>104</v>
      </c>
      <c r="I7">
        <v>117</v>
      </c>
      <c r="J7">
        <v>130</v>
      </c>
      <c r="K7">
        <v>143</v>
      </c>
      <c r="L7">
        <v>156</v>
      </c>
      <c r="M7">
        <v>169</v>
      </c>
      <c r="N7">
        <v>182</v>
      </c>
      <c r="O7">
        <v>195</v>
      </c>
      <c r="P7">
        <v>208</v>
      </c>
      <c r="Q7">
        <v>221</v>
      </c>
      <c r="R7">
        <v>234</v>
      </c>
      <c r="S7">
        <v>247</v>
      </c>
      <c r="T7">
        <v>260</v>
      </c>
      <c r="U7">
        <v>273</v>
      </c>
      <c r="V7">
        <v>286</v>
      </c>
      <c r="W7">
        <v>299</v>
      </c>
      <c r="X7">
        <v>312</v>
      </c>
      <c r="Y7">
        <v>325</v>
      </c>
      <c r="Z7">
        <v>338</v>
      </c>
      <c r="AA7">
        <v>351</v>
      </c>
      <c r="AB7">
        <v>364</v>
      </c>
      <c r="AC7">
        <v>377</v>
      </c>
      <c r="AD7">
        <v>390</v>
      </c>
      <c r="AE7">
        <v>403</v>
      </c>
      <c r="AF7">
        <v>416</v>
      </c>
      <c r="AG7">
        <v>429</v>
      </c>
      <c r="AH7">
        <v>442</v>
      </c>
      <c r="AI7">
        <v>455</v>
      </c>
      <c r="AJ7">
        <v>468</v>
      </c>
      <c r="AK7">
        <v>481</v>
      </c>
      <c r="AL7">
        <v>494</v>
      </c>
      <c r="AM7">
        <v>507</v>
      </c>
      <c r="AN7">
        <v>520</v>
      </c>
      <c r="AO7">
        <v>533</v>
      </c>
      <c r="AP7">
        <v>546</v>
      </c>
      <c r="AQ7">
        <v>559</v>
      </c>
      <c r="AR7">
        <v>572</v>
      </c>
      <c r="AS7">
        <v>585</v>
      </c>
      <c r="AT7">
        <v>598</v>
      </c>
      <c r="AU7">
        <v>611</v>
      </c>
      <c r="AV7">
        <v>624</v>
      </c>
      <c r="AW7">
        <v>637</v>
      </c>
      <c r="AX7">
        <v>650</v>
      </c>
      <c r="AY7">
        <v>663</v>
      </c>
      <c r="AZ7">
        <v>676</v>
      </c>
      <c r="BA7">
        <v>689</v>
      </c>
      <c r="BB7">
        <v>702</v>
      </c>
      <c r="BC7">
        <v>715</v>
      </c>
      <c r="BD7">
        <v>728</v>
      </c>
      <c r="BE7">
        <v>741</v>
      </c>
      <c r="BF7">
        <v>754</v>
      </c>
      <c r="BG7">
        <v>767</v>
      </c>
      <c r="BH7">
        <v>780</v>
      </c>
      <c r="BI7">
        <v>793</v>
      </c>
      <c r="BJ7">
        <v>806</v>
      </c>
      <c r="BK7">
        <v>819</v>
      </c>
      <c r="BL7">
        <v>832</v>
      </c>
      <c r="BM7">
        <v>845</v>
      </c>
      <c r="BN7">
        <v>858</v>
      </c>
      <c r="BO7">
        <v>871</v>
      </c>
      <c r="BP7">
        <v>884</v>
      </c>
      <c r="BQ7">
        <v>897</v>
      </c>
      <c r="BR7">
        <v>910</v>
      </c>
      <c r="BS7">
        <v>923</v>
      </c>
      <c r="BT7">
        <v>936</v>
      </c>
      <c r="BU7">
        <v>949</v>
      </c>
      <c r="BV7">
        <v>962</v>
      </c>
      <c r="BW7">
        <v>975</v>
      </c>
      <c r="BX7">
        <v>988</v>
      </c>
      <c r="BY7">
        <v>1001</v>
      </c>
      <c r="BZ7">
        <v>1014</v>
      </c>
      <c r="CA7">
        <v>1027</v>
      </c>
      <c r="CB7">
        <v>1040</v>
      </c>
      <c r="CC7">
        <v>1053</v>
      </c>
      <c r="CD7">
        <v>1066</v>
      </c>
      <c r="CE7">
        <v>1079</v>
      </c>
      <c r="CF7">
        <v>1092</v>
      </c>
      <c r="CG7">
        <v>1105</v>
      </c>
      <c r="CH7">
        <v>1118</v>
      </c>
      <c r="CI7">
        <v>1131</v>
      </c>
      <c r="CJ7">
        <v>1144</v>
      </c>
      <c r="CK7">
        <v>1157</v>
      </c>
      <c r="CL7">
        <v>1170</v>
      </c>
      <c r="CM7">
        <v>1183</v>
      </c>
      <c r="CN7">
        <v>1196</v>
      </c>
      <c r="CO7">
        <v>1209</v>
      </c>
      <c r="CP7">
        <v>1222</v>
      </c>
      <c r="CQ7">
        <v>1235</v>
      </c>
      <c r="CR7">
        <v>1248</v>
      </c>
      <c r="CS7">
        <v>1261</v>
      </c>
      <c r="CT7">
        <v>1274</v>
      </c>
      <c r="CU7">
        <v>1287</v>
      </c>
      <c r="CV7" t="s">
        <v>89</v>
      </c>
    </row>
    <row r="8" spans="1:100" x14ac:dyDescent="0.25">
      <c r="A8" t="s">
        <v>25</v>
      </c>
      <c r="B8">
        <v>7</v>
      </c>
      <c r="C8">
        <v>11</v>
      </c>
      <c r="D8">
        <v>14</v>
      </c>
      <c r="E8">
        <v>18</v>
      </c>
      <c r="F8">
        <v>21</v>
      </c>
      <c r="G8">
        <v>25</v>
      </c>
      <c r="H8">
        <v>28</v>
      </c>
      <c r="I8">
        <v>32</v>
      </c>
      <c r="J8">
        <v>35</v>
      </c>
      <c r="K8">
        <v>39</v>
      </c>
      <c r="L8">
        <v>42</v>
      </c>
      <c r="M8">
        <v>46</v>
      </c>
      <c r="N8">
        <v>49</v>
      </c>
      <c r="O8">
        <v>53</v>
      </c>
      <c r="P8">
        <v>56</v>
      </c>
      <c r="Q8">
        <v>60</v>
      </c>
      <c r="R8">
        <v>63</v>
      </c>
      <c r="S8">
        <v>67</v>
      </c>
      <c r="T8">
        <v>70</v>
      </c>
      <c r="U8">
        <v>74</v>
      </c>
      <c r="V8">
        <v>77</v>
      </c>
      <c r="W8">
        <v>81</v>
      </c>
      <c r="X8">
        <v>84</v>
      </c>
      <c r="Y8">
        <v>88</v>
      </c>
      <c r="Z8">
        <v>91</v>
      </c>
      <c r="AA8">
        <v>95</v>
      </c>
      <c r="AB8">
        <v>98</v>
      </c>
      <c r="AC8">
        <v>102</v>
      </c>
      <c r="AD8">
        <v>105</v>
      </c>
      <c r="AE8">
        <v>109</v>
      </c>
      <c r="AF8">
        <v>112</v>
      </c>
      <c r="AG8">
        <v>116</v>
      </c>
      <c r="AH8">
        <v>119</v>
      </c>
      <c r="AI8">
        <v>123</v>
      </c>
      <c r="AJ8">
        <v>126</v>
      </c>
      <c r="AK8">
        <v>130</v>
      </c>
      <c r="AL8">
        <v>133</v>
      </c>
      <c r="AM8">
        <v>137</v>
      </c>
      <c r="AN8">
        <v>140</v>
      </c>
      <c r="AO8">
        <v>144</v>
      </c>
      <c r="AP8">
        <v>147</v>
      </c>
      <c r="AQ8">
        <v>151</v>
      </c>
      <c r="AR8">
        <v>154</v>
      </c>
      <c r="AS8">
        <v>158</v>
      </c>
      <c r="AT8">
        <v>161</v>
      </c>
      <c r="AU8">
        <v>165</v>
      </c>
      <c r="AV8">
        <v>168</v>
      </c>
      <c r="AW8">
        <v>172</v>
      </c>
      <c r="AX8">
        <v>175</v>
      </c>
      <c r="AY8">
        <v>179</v>
      </c>
      <c r="AZ8">
        <v>182</v>
      </c>
      <c r="BA8">
        <v>186</v>
      </c>
      <c r="BB8">
        <v>189</v>
      </c>
      <c r="BC8">
        <v>193</v>
      </c>
      <c r="BD8">
        <v>196</v>
      </c>
      <c r="BE8">
        <v>200</v>
      </c>
      <c r="BF8">
        <v>203</v>
      </c>
      <c r="BG8">
        <v>207</v>
      </c>
      <c r="BH8">
        <v>210</v>
      </c>
      <c r="BI8">
        <v>214</v>
      </c>
      <c r="BJ8">
        <v>217</v>
      </c>
      <c r="BK8">
        <v>221</v>
      </c>
      <c r="BL8">
        <v>224</v>
      </c>
      <c r="BM8">
        <v>228</v>
      </c>
      <c r="BN8">
        <v>231</v>
      </c>
      <c r="BO8">
        <v>235</v>
      </c>
      <c r="BP8">
        <v>238</v>
      </c>
      <c r="BQ8">
        <v>242</v>
      </c>
      <c r="BR8">
        <v>245</v>
      </c>
      <c r="BS8">
        <v>249</v>
      </c>
      <c r="BT8">
        <v>252</v>
      </c>
      <c r="BU8">
        <v>256</v>
      </c>
      <c r="BV8">
        <v>259</v>
      </c>
      <c r="BW8">
        <v>263</v>
      </c>
      <c r="BX8">
        <v>266</v>
      </c>
      <c r="BY8">
        <v>270</v>
      </c>
      <c r="BZ8">
        <v>273</v>
      </c>
      <c r="CA8">
        <v>277</v>
      </c>
      <c r="CB8">
        <v>280</v>
      </c>
      <c r="CC8">
        <v>284</v>
      </c>
      <c r="CD8">
        <v>287</v>
      </c>
      <c r="CE8">
        <v>291</v>
      </c>
      <c r="CF8">
        <v>294</v>
      </c>
      <c r="CG8">
        <v>298</v>
      </c>
      <c r="CH8">
        <v>301</v>
      </c>
      <c r="CI8">
        <v>305</v>
      </c>
      <c r="CJ8">
        <v>308</v>
      </c>
      <c r="CK8">
        <v>312</v>
      </c>
      <c r="CL8">
        <v>315</v>
      </c>
      <c r="CM8">
        <v>319</v>
      </c>
      <c r="CN8">
        <v>322</v>
      </c>
      <c r="CO8">
        <v>326</v>
      </c>
      <c r="CP8">
        <v>329</v>
      </c>
      <c r="CQ8">
        <v>333</v>
      </c>
      <c r="CR8">
        <v>336</v>
      </c>
      <c r="CS8">
        <v>340</v>
      </c>
      <c r="CT8">
        <v>343</v>
      </c>
      <c r="CU8">
        <v>347</v>
      </c>
      <c r="CV8" t="s">
        <v>61</v>
      </c>
    </row>
    <row r="9" spans="1:100" x14ac:dyDescent="0.25">
      <c r="A9" t="s">
        <v>26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ref="BV9:CU9" si="3">BU9+0.25</f>
        <v>10.5</v>
      </c>
      <c r="BW9">
        <f t="shared" si="3"/>
        <v>10.75</v>
      </c>
      <c r="BX9">
        <f t="shared" si="3"/>
        <v>11</v>
      </c>
      <c r="BY9">
        <f t="shared" si="3"/>
        <v>11.25</v>
      </c>
      <c r="BZ9">
        <f t="shared" si="3"/>
        <v>11.5</v>
      </c>
      <c r="CA9">
        <f t="shared" si="3"/>
        <v>11.75</v>
      </c>
      <c r="CB9">
        <f t="shared" si="3"/>
        <v>12</v>
      </c>
      <c r="CC9">
        <f t="shared" si="3"/>
        <v>12.25</v>
      </c>
      <c r="CD9">
        <f t="shared" si="3"/>
        <v>12.5</v>
      </c>
      <c r="CE9">
        <f t="shared" si="3"/>
        <v>12.75</v>
      </c>
      <c r="CF9">
        <f t="shared" si="3"/>
        <v>13</v>
      </c>
      <c r="CG9">
        <f t="shared" si="3"/>
        <v>13.25</v>
      </c>
      <c r="CH9">
        <f t="shared" si="3"/>
        <v>13.5</v>
      </c>
      <c r="CI9">
        <f t="shared" si="3"/>
        <v>13.75</v>
      </c>
      <c r="CJ9">
        <f t="shared" si="3"/>
        <v>14</v>
      </c>
      <c r="CK9">
        <f t="shared" si="3"/>
        <v>14.25</v>
      </c>
      <c r="CL9">
        <f t="shared" si="3"/>
        <v>14.5</v>
      </c>
      <c r="CM9">
        <f t="shared" si="3"/>
        <v>14.75</v>
      </c>
      <c r="CN9">
        <f t="shared" si="3"/>
        <v>15</v>
      </c>
      <c r="CO9">
        <f t="shared" si="3"/>
        <v>15.25</v>
      </c>
      <c r="CP9">
        <f t="shared" si="3"/>
        <v>15.5</v>
      </c>
      <c r="CQ9">
        <f t="shared" si="3"/>
        <v>15.75</v>
      </c>
      <c r="CR9">
        <f t="shared" si="3"/>
        <v>16</v>
      </c>
      <c r="CS9">
        <f t="shared" si="3"/>
        <v>16.25</v>
      </c>
      <c r="CT9">
        <f t="shared" si="3"/>
        <v>16.5</v>
      </c>
      <c r="CU9">
        <f t="shared" si="3"/>
        <v>16.75</v>
      </c>
      <c r="CV9" t="s">
        <v>57</v>
      </c>
    </row>
    <row r="10" spans="1:100" x14ac:dyDescent="0.25">
      <c r="A10" t="s">
        <v>99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BV11" si="4">BU10+0.25</f>
        <v>10.5</v>
      </c>
      <c r="BW10">
        <f t="shared" ref="BW10:BW11" si="5">BV10+0.25</f>
        <v>10.75</v>
      </c>
      <c r="BX10">
        <f t="shared" ref="BX10:BX11" si="6">BW10+0.25</f>
        <v>11</v>
      </c>
      <c r="BY10">
        <f t="shared" ref="BY10:BY11" si="7">BX10+0.25</f>
        <v>11.25</v>
      </c>
      <c r="BZ10">
        <f t="shared" ref="BZ10:BZ11" si="8">BY10+0.25</f>
        <v>11.5</v>
      </c>
      <c r="CA10">
        <f t="shared" ref="CA10:CA11" si="9">BZ10+0.25</f>
        <v>11.75</v>
      </c>
      <c r="CB10">
        <f t="shared" ref="CB10:CB11" si="10">CA10+0.25</f>
        <v>12</v>
      </c>
      <c r="CC10">
        <f t="shared" ref="CC10:CC11" si="11">CB10+0.25</f>
        <v>12.25</v>
      </c>
      <c r="CD10">
        <f t="shared" ref="CD10:CD11" si="12">CC10+0.25</f>
        <v>12.5</v>
      </c>
      <c r="CE10">
        <f t="shared" ref="CE10:CE11" si="13">CD10+0.25</f>
        <v>12.75</v>
      </c>
      <c r="CF10">
        <f t="shared" ref="CF10:CF11" si="14">CE10+0.25</f>
        <v>13</v>
      </c>
      <c r="CG10">
        <f t="shared" ref="CG10:CG11" si="15">CF10+0.25</f>
        <v>13.25</v>
      </c>
      <c r="CH10">
        <f t="shared" ref="CH10:CH11" si="16">CG10+0.25</f>
        <v>13.5</v>
      </c>
      <c r="CI10">
        <f t="shared" ref="CI10:CI11" si="17">CH10+0.25</f>
        <v>13.75</v>
      </c>
      <c r="CJ10">
        <f t="shared" ref="CJ10:CJ11" si="18">CI10+0.25</f>
        <v>14</v>
      </c>
      <c r="CK10">
        <f t="shared" ref="CK10:CK11" si="19">CJ10+0.25</f>
        <v>14.25</v>
      </c>
      <c r="CL10">
        <f t="shared" ref="CL10:CL11" si="20">CK10+0.25</f>
        <v>14.5</v>
      </c>
      <c r="CM10">
        <f t="shared" ref="CM10:CM11" si="21">CL10+0.25</f>
        <v>14.75</v>
      </c>
      <c r="CN10">
        <f t="shared" ref="CN10:CN11" si="22">CM10+0.25</f>
        <v>15</v>
      </c>
      <c r="CO10">
        <f t="shared" ref="CO10:CO11" si="23">CN10+0.25</f>
        <v>15.25</v>
      </c>
      <c r="CP10">
        <f t="shared" ref="CP10:CP11" si="24">CO10+0.25</f>
        <v>15.5</v>
      </c>
      <c r="CQ10">
        <f t="shared" ref="CQ10:CQ11" si="25">CP10+0.25</f>
        <v>15.75</v>
      </c>
      <c r="CR10">
        <f t="shared" ref="CR10:CR11" si="26">CQ10+0.25</f>
        <v>16</v>
      </c>
      <c r="CS10">
        <f t="shared" ref="CS10:CS11" si="27">CR10+0.25</f>
        <v>16.25</v>
      </c>
      <c r="CT10">
        <f t="shared" ref="CT10:CT11" si="28">CS10+0.25</f>
        <v>16.5</v>
      </c>
      <c r="CU10">
        <f t="shared" ref="CU10:CU11" si="29">CT10+0.25</f>
        <v>16.75</v>
      </c>
      <c r="CV10" t="s">
        <v>57</v>
      </c>
    </row>
    <row r="11" spans="1:100" x14ac:dyDescent="0.25">
      <c r="A11" t="s">
        <v>100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0.5</v>
      </c>
      <c r="AZ11">
        <v>1</v>
      </c>
      <c r="BA11">
        <v>1.5</v>
      </c>
      <c r="BB11">
        <v>2</v>
      </c>
      <c r="BC11">
        <v>2.5</v>
      </c>
      <c r="BD11">
        <v>3</v>
      </c>
      <c r="BE11">
        <v>3.5</v>
      </c>
      <c r="BF11">
        <v>4</v>
      </c>
      <c r="BG11">
        <v>4.5</v>
      </c>
      <c r="BH11">
        <v>5</v>
      </c>
      <c r="BI11">
        <v>5.5</v>
      </c>
      <c r="BJ11">
        <v>6</v>
      </c>
      <c r="BK11">
        <v>6.5</v>
      </c>
      <c r="BL11">
        <v>7</v>
      </c>
      <c r="BM11">
        <v>7.5</v>
      </c>
      <c r="BN11">
        <v>8</v>
      </c>
      <c r="BO11">
        <v>8.5</v>
      </c>
      <c r="BP11">
        <v>9</v>
      </c>
      <c r="BQ11">
        <v>9</v>
      </c>
      <c r="BR11">
        <v>9.5</v>
      </c>
      <c r="BS11">
        <v>9.5</v>
      </c>
      <c r="BT11">
        <v>10</v>
      </c>
      <c r="BU11">
        <f>BT11+0.25</f>
        <v>10.25</v>
      </c>
      <c r="BV11">
        <f t="shared" si="4"/>
        <v>10.5</v>
      </c>
      <c r="BW11">
        <f t="shared" si="5"/>
        <v>10.75</v>
      </c>
      <c r="BX11">
        <f t="shared" si="6"/>
        <v>11</v>
      </c>
      <c r="BY11">
        <f t="shared" si="7"/>
        <v>11.25</v>
      </c>
      <c r="BZ11">
        <f t="shared" si="8"/>
        <v>11.5</v>
      </c>
      <c r="CA11">
        <f t="shared" si="9"/>
        <v>11.75</v>
      </c>
      <c r="CB11">
        <f t="shared" si="10"/>
        <v>12</v>
      </c>
      <c r="CC11">
        <f t="shared" si="11"/>
        <v>12.25</v>
      </c>
      <c r="CD11">
        <f t="shared" si="12"/>
        <v>12.5</v>
      </c>
      <c r="CE11">
        <f t="shared" si="13"/>
        <v>12.75</v>
      </c>
      <c r="CF11">
        <f t="shared" si="14"/>
        <v>13</v>
      </c>
      <c r="CG11">
        <f t="shared" si="15"/>
        <v>13.25</v>
      </c>
      <c r="CH11">
        <f t="shared" si="16"/>
        <v>13.5</v>
      </c>
      <c r="CI11">
        <f t="shared" si="17"/>
        <v>13.75</v>
      </c>
      <c r="CJ11">
        <f t="shared" si="18"/>
        <v>14</v>
      </c>
      <c r="CK11">
        <f t="shared" si="19"/>
        <v>14.25</v>
      </c>
      <c r="CL11">
        <f t="shared" si="20"/>
        <v>14.5</v>
      </c>
      <c r="CM11">
        <f t="shared" si="21"/>
        <v>14.75</v>
      </c>
      <c r="CN11">
        <f t="shared" si="22"/>
        <v>15</v>
      </c>
      <c r="CO11">
        <f t="shared" si="23"/>
        <v>15.25</v>
      </c>
      <c r="CP11">
        <f t="shared" si="24"/>
        <v>15.5</v>
      </c>
      <c r="CQ11">
        <f t="shared" si="25"/>
        <v>15.75</v>
      </c>
      <c r="CR11">
        <f t="shared" si="26"/>
        <v>16</v>
      </c>
      <c r="CS11">
        <f t="shared" si="27"/>
        <v>16.25</v>
      </c>
      <c r="CT11">
        <f t="shared" si="28"/>
        <v>16.5</v>
      </c>
      <c r="CU11">
        <f t="shared" si="29"/>
        <v>16.75</v>
      </c>
      <c r="CV11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W30"/>
  <sheetViews>
    <sheetView workbookViewId="0">
      <selection activeCell="AY10" sqref="AY10"/>
    </sheetView>
  </sheetViews>
  <sheetFormatPr defaultRowHeight="15" x14ac:dyDescent="0.25"/>
  <cols>
    <col min="1" max="1" width="52.42578125" bestFit="1" customWidth="1"/>
    <col min="2" max="4" width="3" bestFit="1" customWidth="1"/>
    <col min="5" max="49" width="4" bestFit="1" customWidth="1"/>
    <col min="50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60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72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0">BU2+0.25</f>
        <v>10.5</v>
      </c>
      <c r="BW2">
        <f t="shared" si="0"/>
        <v>10.75</v>
      </c>
      <c r="BX2">
        <f t="shared" si="0"/>
        <v>11</v>
      </c>
      <c r="BY2">
        <f t="shared" si="0"/>
        <v>11.25</v>
      </c>
      <c r="BZ2">
        <f t="shared" si="0"/>
        <v>11.5</v>
      </c>
      <c r="CA2">
        <f t="shared" si="0"/>
        <v>11.75</v>
      </c>
      <c r="CB2">
        <f t="shared" si="0"/>
        <v>12</v>
      </c>
      <c r="CC2">
        <f t="shared" si="0"/>
        <v>12.25</v>
      </c>
      <c r="CD2">
        <f t="shared" si="0"/>
        <v>12.5</v>
      </c>
      <c r="CE2">
        <f t="shared" si="0"/>
        <v>12.75</v>
      </c>
      <c r="CF2">
        <f t="shared" si="0"/>
        <v>13</v>
      </c>
      <c r="CG2">
        <f t="shared" si="0"/>
        <v>13.25</v>
      </c>
      <c r="CH2">
        <f t="shared" si="0"/>
        <v>13.5</v>
      </c>
      <c r="CI2">
        <f t="shared" si="0"/>
        <v>13.75</v>
      </c>
      <c r="CJ2">
        <f t="shared" si="0"/>
        <v>14</v>
      </c>
      <c r="CK2">
        <f t="shared" si="0"/>
        <v>14.25</v>
      </c>
      <c r="CL2">
        <f t="shared" si="0"/>
        <v>14.5</v>
      </c>
      <c r="CM2">
        <f t="shared" si="0"/>
        <v>14.75</v>
      </c>
      <c r="CN2">
        <f t="shared" si="0"/>
        <v>15</v>
      </c>
      <c r="CO2">
        <f t="shared" si="0"/>
        <v>15.25</v>
      </c>
      <c r="CP2">
        <f t="shared" si="0"/>
        <v>15.5</v>
      </c>
      <c r="CQ2">
        <f t="shared" si="0"/>
        <v>15.75</v>
      </c>
      <c r="CR2">
        <f t="shared" si="0"/>
        <v>16</v>
      </c>
      <c r="CS2">
        <f t="shared" si="0"/>
        <v>16.25</v>
      </c>
      <c r="CT2">
        <f t="shared" si="0"/>
        <v>16.5</v>
      </c>
      <c r="CU2">
        <f t="shared" si="0"/>
        <v>16.75</v>
      </c>
      <c r="CV2" t="s">
        <v>57</v>
      </c>
    </row>
    <row r="3" spans="1:100" x14ac:dyDescent="0.25">
      <c r="A3" t="s">
        <v>81</v>
      </c>
      <c r="B3">
        <v>10</v>
      </c>
      <c r="C3">
        <v>15</v>
      </c>
      <c r="D3">
        <v>20</v>
      </c>
      <c r="E3">
        <v>25</v>
      </c>
      <c r="F3">
        <v>30</v>
      </c>
      <c r="G3">
        <v>35</v>
      </c>
      <c r="H3">
        <v>40</v>
      </c>
      <c r="I3">
        <v>45</v>
      </c>
      <c r="J3">
        <v>50</v>
      </c>
      <c r="K3">
        <v>55</v>
      </c>
      <c r="L3">
        <v>60</v>
      </c>
      <c r="M3">
        <v>65</v>
      </c>
      <c r="N3">
        <v>70</v>
      </c>
      <c r="O3">
        <v>75</v>
      </c>
      <c r="P3">
        <v>80</v>
      </c>
      <c r="Q3">
        <v>85</v>
      </c>
      <c r="R3">
        <v>90</v>
      </c>
      <c r="S3">
        <v>95</v>
      </c>
      <c r="T3">
        <v>100</v>
      </c>
      <c r="U3">
        <v>105</v>
      </c>
      <c r="V3">
        <v>110</v>
      </c>
      <c r="W3">
        <v>115</v>
      </c>
      <c r="X3">
        <v>120</v>
      </c>
      <c r="Y3">
        <v>125</v>
      </c>
      <c r="Z3">
        <v>130</v>
      </c>
      <c r="AA3">
        <v>135</v>
      </c>
      <c r="AB3">
        <v>140</v>
      </c>
      <c r="AC3">
        <v>145</v>
      </c>
      <c r="AD3">
        <v>150</v>
      </c>
      <c r="AE3">
        <v>155</v>
      </c>
      <c r="AF3">
        <v>160</v>
      </c>
      <c r="AG3">
        <v>165</v>
      </c>
      <c r="AH3">
        <v>170</v>
      </c>
      <c r="AI3">
        <v>175</v>
      </c>
      <c r="AJ3">
        <v>180</v>
      </c>
      <c r="AK3">
        <v>185</v>
      </c>
      <c r="AL3">
        <v>190</v>
      </c>
      <c r="AM3">
        <v>195</v>
      </c>
      <c r="AN3">
        <v>200</v>
      </c>
      <c r="AO3">
        <v>205</v>
      </c>
      <c r="AP3">
        <v>210</v>
      </c>
      <c r="AQ3">
        <v>215</v>
      </c>
      <c r="AR3">
        <v>220</v>
      </c>
      <c r="AS3">
        <v>225</v>
      </c>
      <c r="AT3">
        <v>230</v>
      </c>
      <c r="AU3">
        <v>235</v>
      </c>
      <c r="AV3">
        <v>240</v>
      </c>
      <c r="AW3">
        <v>245</v>
      </c>
      <c r="AX3">
        <v>250</v>
      </c>
      <c r="AY3">
        <v>255</v>
      </c>
      <c r="AZ3">
        <v>260</v>
      </c>
      <c r="BA3">
        <v>265</v>
      </c>
      <c r="BB3">
        <v>270</v>
      </c>
      <c r="BC3">
        <v>275</v>
      </c>
      <c r="BD3">
        <v>280</v>
      </c>
      <c r="BE3">
        <v>285</v>
      </c>
      <c r="BF3">
        <v>290</v>
      </c>
      <c r="BG3">
        <v>295</v>
      </c>
      <c r="BH3">
        <v>300</v>
      </c>
      <c r="BI3">
        <v>305</v>
      </c>
      <c r="BJ3">
        <v>310</v>
      </c>
      <c r="BK3">
        <v>315</v>
      </c>
      <c r="BL3">
        <v>320</v>
      </c>
      <c r="BM3">
        <v>325</v>
      </c>
      <c r="BN3">
        <v>330</v>
      </c>
      <c r="BO3">
        <v>335</v>
      </c>
      <c r="BP3">
        <v>340</v>
      </c>
      <c r="BQ3">
        <v>345</v>
      </c>
      <c r="BR3">
        <v>350</v>
      </c>
      <c r="BS3">
        <v>355</v>
      </c>
      <c r="BT3">
        <v>360</v>
      </c>
      <c r="BU3">
        <v>365</v>
      </c>
      <c r="BV3">
        <v>370</v>
      </c>
      <c r="BW3">
        <v>375</v>
      </c>
      <c r="BX3">
        <v>380</v>
      </c>
      <c r="BY3">
        <v>385</v>
      </c>
      <c r="BZ3">
        <v>390</v>
      </c>
      <c r="CA3">
        <v>395</v>
      </c>
      <c r="CB3">
        <v>400</v>
      </c>
      <c r="CC3">
        <v>405</v>
      </c>
      <c r="CD3">
        <v>410</v>
      </c>
      <c r="CE3">
        <v>415</v>
      </c>
      <c r="CF3">
        <v>420</v>
      </c>
      <c r="CG3">
        <v>425</v>
      </c>
      <c r="CH3">
        <v>430</v>
      </c>
      <c r="CI3">
        <v>435</v>
      </c>
      <c r="CJ3">
        <v>440</v>
      </c>
      <c r="CK3">
        <v>445</v>
      </c>
      <c r="CL3">
        <v>450</v>
      </c>
      <c r="CM3">
        <v>455</v>
      </c>
      <c r="CN3">
        <v>460</v>
      </c>
      <c r="CO3">
        <v>465</v>
      </c>
      <c r="CP3">
        <v>470</v>
      </c>
      <c r="CQ3">
        <v>475</v>
      </c>
      <c r="CR3">
        <v>480</v>
      </c>
      <c r="CS3">
        <v>485</v>
      </c>
      <c r="CT3">
        <v>490</v>
      </c>
      <c r="CU3">
        <v>495</v>
      </c>
      <c r="CV3" t="s">
        <v>68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1</v>
      </c>
      <c r="AZ4">
        <v>2</v>
      </c>
      <c r="BA4">
        <v>3</v>
      </c>
      <c r="BB4">
        <v>4</v>
      </c>
      <c r="BC4">
        <v>5</v>
      </c>
      <c r="BD4">
        <v>6</v>
      </c>
      <c r="BE4">
        <v>7</v>
      </c>
      <c r="BF4">
        <v>8</v>
      </c>
      <c r="BG4">
        <v>9</v>
      </c>
      <c r="BH4">
        <v>10</v>
      </c>
      <c r="BI4">
        <v>11</v>
      </c>
      <c r="BJ4">
        <v>12</v>
      </c>
      <c r="BK4">
        <v>13</v>
      </c>
      <c r="BL4">
        <v>14</v>
      </c>
      <c r="BM4">
        <v>15</v>
      </c>
      <c r="BN4">
        <v>16</v>
      </c>
      <c r="BO4">
        <v>17</v>
      </c>
      <c r="BP4">
        <v>18</v>
      </c>
      <c r="BQ4">
        <v>18</v>
      </c>
      <c r="BR4">
        <v>19</v>
      </c>
      <c r="BS4">
        <v>19</v>
      </c>
      <c r="BT4">
        <v>20</v>
      </c>
      <c r="BU4">
        <f>BT4+0.5</f>
        <v>20.5</v>
      </c>
      <c r="BV4">
        <f t="shared" ref="BV4:CU4" si="1">BU4+0.5</f>
        <v>21</v>
      </c>
      <c r="BW4">
        <f t="shared" si="1"/>
        <v>21.5</v>
      </c>
      <c r="BX4">
        <f t="shared" si="1"/>
        <v>22</v>
      </c>
      <c r="BY4">
        <f t="shared" si="1"/>
        <v>22.5</v>
      </c>
      <c r="BZ4">
        <f t="shared" si="1"/>
        <v>23</v>
      </c>
      <c r="CA4">
        <f t="shared" si="1"/>
        <v>23.5</v>
      </c>
      <c r="CB4">
        <f t="shared" si="1"/>
        <v>24</v>
      </c>
      <c r="CC4">
        <f t="shared" si="1"/>
        <v>24.5</v>
      </c>
      <c r="CD4">
        <f t="shared" si="1"/>
        <v>25</v>
      </c>
      <c r="CE4">
        <f t="shared" si="1"/>
        <v>25.5</v>
      </c>
      <c r="CF4">
        <f t="shared" si="1"/>
        <v>26</v>
      </c>
      <c r="CG4">
        <f t="shared" si="1"/>
        <v>26.5</v>
      </c>
      <c r="CH4">
        <f t="shared" si="1"/>
        <v>27</v>
      </c>
      <c r="CI4">
        <f t="shared" si="1"/>
        <v>27.5</v>
      </c>
      <c r="CJ4">
        <f t="shared" si="1"/>
        <v>28</v>
      </c>
      <c r="CK4">
        <f t="shared" si="1"/>
        <v>28.5</v>
      </c>
      <c r="CL4">
        <f t="shared" si="1"/>
        <v>29</v>
      </c>
      <c r="CM4">
        <f t="shared" si="1"/>
        <v>29.5</v>
      </c>
      <c r="CN4">
        <f t="shared" si="1"/>
        <v>30</v>
      </c>
      <c r="CO4">
        <f t="shared" si="1"/>
        <v>30.5</v>
      </c>
      <c r="CP4">
        <f t="shared" si="1"/>
        <v>31</v>
      </c>
      <c r="CQ4">
        <f t="shared" si="1"/>
        <v>31.5</v>
      </c>
      <c r="CR4">
        <f t="shared" si="1"/>
        <v>32</v>
      </c>
      <c r="CS4">
        <f t="shared" si="1"/>
        <v>32.5</v>
      </c>
      <c r="CT4">
        <f t="shared" si="1"/>
        <v>33</v>
      </c>
      <c r="CU4">
        <f t="shared" si="1"/>
        <v>33.5</v>
      </c>
      <c r="CV4" t="s">
        <v>77</v>
      </c>
    </row>
    <row r="5" spans="1:100" x14ac:dyDescent="0.25">
      <c r="A5" t="s">
        <v>91</v>
      </c>
      <c r="B5">
        <v>36</v>
      </c>
      <c r="C5">
        <v>54</v>
      </c>
      <c r="D5">
        <v>72</v>
      </c>
      <c r="E5">
        <v>90</v>
      </c>
      <c r="F5">
        <v>108</v>
      </c>
      <c r="G5">
        <v>126</v>
      </c>
      <c r="H5">
        <v>144</v>
      </c>
      <c r="I5">
        <v>162</v>
      </c>
      <c r="J5">
        <v>180</v>
      </c>
      <c r="K5">
        <v>198</v>
      </c>
      <c r="L5">
        <v>216</v>
      </c>
      <c r="M5">
        <v>234</v>
      </c>
      <c r="N5">
        <v>252</v>
      </c>
      <c r="O5">
        <v>270</v>
      </c>
      <c r="P5">
        <v>288</v>
      </c>
      <c r="Q5">
        <v>306</v>
      </c>
      <c r="R5">
        <v>324</v>
      </c>
      <c r="S5">
        <v>342</v>
      </c>
      <c r="T5">
        <v>360</v>
      </c>
      <c r="U5">
        <v>378</v>
      </c>
      <c r="V5">
        <v>396</v>
      </c>
      <c r="W5">
        <v>414</v>
      </c>
      <c r="X5">
        <v>432</v>
      </c>
      <c r="Y5">
        <v>450</v>
      </c>
      <c r="Z5">
        <v>468</v>
      </c>
      <c r="AA5">
        <v>486</v>
      </c>
      <c r="AB5">
        <v>504</v>
      </c>
      <c r="AC5">
        <v>522</v>
      </c>
      <c r="AD5">
        <v>540</v>
      </c>
      <c r="AE5">
        <v>558</v>
      </c>
      <c r="AF5">
        <v>576</v>
      </c>
      <c r="AG5">
        <v>594</v>
      </c>
      <c r="AH5">
        <v>612</v>
      </c>
      <c r="AI5">
        <v>630</v>
      </c>
      <c r="AJ5">
        <v>648</v>
      </c>
      <c r="AK5">
        <v>666</v>
      </c>
      <c r="AL5">
        <v>684</v>
      </c>
      <c r="AM5">
        <v>702</v>
      </c>
      <c r="AN5">
        <v>720</v>
      </c>
      <c r="AO5">
        <v>738</v>
      </c>
      <c r="AP5">
        <v>756</v>
      </c>
      <c r="AQ5">
        <v>774</v>
      </c>
      <c r="AR5">
        <v>792</v>
      </c>
      <c r="AS5">
        <v>810</v>
      </c>
      <c r="AT5">
        <v>828</v>
      </c>
      <c r="AU5">
        <v>846</v>
      </c>
      <c r="AV5">
        <v>864</v>
      </c>
      <c r="AW5">
        <v>882</v>
      </c>
      <c r="AX5">
        <v>900</v>
      </c>
      <c r="AY5">
        <v>918</v>
      </c>
      <c r="AZ5">
        <v>936</v>
      </c>
      <c r="BA5">
        <v>954</v>
      </c>
      <c r="BB5">
        <v>972</v>
      </c>
      <c r="BC5">
        <v>990</v>
      </c>
      <c r="BD5">
        <v>1008</v>
      </c>
      <c r="BE5">
        <v>1026</v>
      </c>
      <c r="BF5">
        <v>1044</v>
      </c>
      <c r="BG5">
        <v>1062</v>
      </c>
      <c r="BH5">
        <v>1080</v>
      </c>
      <c r="BI5">
        <v>1098</v>
      </c>
      <c r="BJ5">
        <v>1116</v>
      </c>
      <c r="BK5">
        <v>1134</v>
      </c>
      <c r="BL5">
        <v>1152</v>
      </c>
      <c r="BM5">
        <v>1170</v>
      </c>
      <c r="BN5">
        <v>1188</v>
      </c>
      <c r="BO5">
        <v>1206</v>
      </c>
      <c r="BP5">
        <v>1224</v>
      </c>
      <c r="BQ5">
        <v>1242</v>
      </c>
      <c r="BR5">
        <v>1260</v>
      </c>
      <c r="BS5">
        <v>1278</v>
      </c>
      <c r="BT5">
        <v>1296</v>
      </c>
      <c r="BU5">
        <v>1314</v>
      </c>
      <c r="BV5">
        <v>1332</v>
      </c>
      <c r="BW5">
        <v>1350</v>
      </c>
      <c r="BX5">
        <v>1368</v>
      </c>
      <c r="BY5">
        <v>1386</v>
      </c>
      <c r="BZ5">
        <v>1404</v>
      </c>
      <c r="CA5">
        <v>1422</v>
      </c>
      <c r="CB5">
        <v>1440</v>
      </c>
      <c r="CC5">
        <v>1458</v>
      </c>
      <c r="CD5">
        <v>1476</v>
      </c>
      <c r="CE5">
        <v>1494</v>
      </c>
      <c r="CF5">
        <v>1512</v>
      </c>
      <c r="CG5">
        <v>1530</v>
      </c>
      <c r="CH5">
        <v>1548</v>
      </c>
      <c r="CI5">
        <v>1566</v>
      </c>
      <c r="CJ5">
        <v>1584</v>
      </c>
      <c r="CK5">
        <v>1602</v>
      </c>
      <c r="CL5">
        <v>1620</v>
      </c>
      <c r="CM5">
        <v>1638</v>
      </c>
      <c r="CN5">
        <v>1656</v>
      </c>
      <c r="CO5">
        <v>1674</v>
      </c>
      <c r="CP5">
        <v>1692</v>
      </c>
      <c r="CQ5">
        <v>1710</v>
      </c>
      <c r="CR5">
        <v>1728</v>
      </c>
      <c r="CS5">
        <v>1746</v>
      </c>
      <c r="CT5">
        <v>1764</v>
      </c>
      <c r="CU5">
        <v>1782</v>
      </c>
      <c r="CV5" t="s">
        <v>86</v>
      </c>
    </row>
    <row r="6" spans="1:100" x14ac:dyDescent="0.25">
      <c r="A6" t="s">
        <v>47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58</v>
      </c>
    </row>
    <row r="10" spans="1:100" x14ac:dyDescent="0.25">
      <c r="A10" t="s">
        <v>92</v>
      </c>
      <c r="B10">
        <v>40</v>
      </c>
      <c r="C10">
        <v>60</v>
      </c>
      <c r="D10">
        <v>80</v>
      </c>
      <c r="E10">
        <v>100</v>
      </c>
      <c r="F10">
        <v>120</v>
      </c>
      <c r="G10">
        <v>140</v>
      </c>
      <c r="H10">
        <v>160</v>
      </c>
      <c r="I10">
        <v>180</v>
      </c>
      <c r="J10">
        <v>200</v>
      </c>
      <c r="K10">
        <v>220</v>
      </c>
      <c r="L10">
        <v>240</v>
      </c>
      <c r="M10">
        <v>260</v>
      </c>
      <c r="N10">
        <v>280</v>
      </c>
      <c r="O10">
        <v>300</v>
      </c>
      <c r="P10">
        <v>320</v>
      </c>
      <c r="Q10">
        <v>340</v>
      </c>
      <c r="R10">
        <v>360</v>
      </c>
      <c r="S10">
        <v>380</v>
      </c>
      <c r="T10">
        <v>400</v>
      </c>
      <c r="U10">
        <v>420</v>
      </c>
      <c r="V10">
        <v>440</v>
      </c>
      <c r="W10">
        <v>460</v>
      </c>
      <c r="X10">
        <v>480</v>
      </c>
      <c r="Y10">
        <v>500</v>
      </c>
      <c r="Z10">
        <v>520</v>
      </c>
      <c r="AA10">
        <v>540</v>
      </c>
      <c r="AB10">
        <v>560</v>
      </c>
      <c r="AC10">
        <v>580</v>
      </c>
      <c r="AD10">
        <v>600</v>
      </c>
      <c r="AE10">
        <v>620</v>
      </c>
      <c r="AF10">
        <v>640</v>
      </c>
      <c r="AG10">
        <v>660</v>
      </c>
      <c r="AH10">
        <v>680</v>
      </c>
      <c r="AI10">
        <v>700</v>
      </c>
      <c r="AJ10">
        <v>720</v>
      </c>
      <c r="AK10">
        <v>740</v>
      </c>
      <c r="AL10">
        <v>760</v>
      </c>
      <c r="AM10">
        <v>780</v>
      </c>
      <c r="AN10">
        <v>800</v>
      </c>
      <c r="AO10">
        <v>820</v>
      </c>
      <c r="AP10">
        <v>840</v>
      </c>
      <c r="AQ10">
        <v>860</v>
      </c>
      <c r="AR10">
        <v>880</v>
      </c>
      <c r="AS10">
        <v>900</v>
      </c>
      <c r="AT10">
        <v>920</v>
      </c>
      <c r="AU10">
        <v>940</v>
      </c>
      <c r="AV10">
        <v>960</v>
      </c>
      <c r="AW10">
        <v>980</v>
      </c>
      <c r="AX10">
        <v>1000</v>
      </c>
      <c r="AY10">
        <v>1020</v>
      </c>
      <c r="AZ10">
        <v>1040</v>
      </c>
      <c r="BA10">
        <v>1060</v>
      </c>
      <c r="BB10">
        <v>1080</v>
      </c>
      <c r="BC10">
        <v>1100</v>
      </c>
      <c r="BD10">
        <v>1120</v>
      </c>
      <c r="BE10">
        <f>BD10+20</f>
        <v>1140</v>
      </c>
      <c r="BF10">
        <f t="shared" ref="BF10:CU10" si="2">BE10+20</f>
        <v>1160</v>
      </c>
      <c r="BG10">
        <f t="shared" si="2"/>
        <v>1180</v>
      </c>
      <c r="BH10">
        <f t="shared" si="2"/>
        <v>1200</v>
      </c>
      <c r="BI10">
        <f t="shared" si="2"/>
        <v>1220</v>
      </c>
      <c r="BJ10">
        <f t="shared" si="2"/>
        <v>1240</v>
      </c>
      <c r="BK10">
        <f t="shared" si="2"/>
        <v>1260</v>
      </c>
      <c r="BL10">
        <f t="shared" si="2"/>
        <v>1280</v>
      </c>
      <c r="BM10">
        <f t="shared" si="2"/>
        <v>1300</v>
      </c>
      <c r="BN10">
        <f t="shared" si="2"/>
        <v>1320</v>
      </c>
      <c r="BO10">
        <f t="shared" si="2"/>
        <v>1340</v>
      </c>
      <c r="BP10">
        <f t="shared" si="2"/>
        <v>1360</v>
      </c>
      <c r="BQ10">
        <f t="shared" si="2"/>
        <v>1380</v>
      </c>
      <c r="BR10">
        <f t="shared" si="2"/>
        <v>1400</v>
      </c>
      <c r="BS10">
        <f t="shared" si="2"/>
        <v>1420</v>
      </c>
      <c r="BT10">
        <f t="shared" si="2"/>
        <v>1440</v>
      </c>
      <c r="BU10">
        <f t="shared" si="2"/>
        <v>1460</v>
      </c>
      <c r="BV10">
        <f t="shared" si="2"/>
        <v>1480</v>
      </c>
      <c r="BW10">
        <f t="shared" si="2"/>
        <v>1500</v>
      </c>
      <c r="BX10">
        <f t="shared" si="2"/>
        <v>1520</v>
      </c>
      <c r="BY10">
        <f t="shared" si="2"/>
        <v>1540</v>
      </c>
      <c r="BZ10">
        <f t="shared" si="2"/>
        <v>1560</v>
      </c>
      <c r="CA10">
        <f t="shared" si="2"/>
        <v>1580</v>
      </c>
      <c r="CB10">
        <f t="shared" si="2"/>
        <v>1600</v>
      </c>
      <c r="CC10">
        <f t="shared" si="2"/>
        <v>1620</v>
      </c>
      <c r="CD10">
        <f t="shared" si="2"/>
        <v>1640</v>
      </c>
      <c r="CE10">
        <f t="shared" si="2"/>
        <v>1660</v>
      </c>
      <c r="CF10">
        <f t="shared" si="2"/>
        <v>1680</v>
      </c>
      <c r="CG10">
        <f t="shared" si="2"/>
        <v>1700</v>
      </c>
      <c r="CH10">
        <f t="shared" si="2"/>
        <v>1720</v>
      </c>
      <c r="CI10">
        <f t="shared" si="2"/>
        <v>1740</v>
      </c>
      <c r="CJ10">
        <f t="shared" si="2"/>
        <v>1760</v>
      </c>
      <c r="CK10">
        <f t="shared" si="2"/>
        <v>1780</v>
      </c>
      <c r="CL10">
        <f t="shared" si="2"/>
        <v>1800</v>
      </c>
      <c r="CM10">
        <f t="shared" si="2"/>
        <v>1820</v>
      </c>
      <c r="CN10">
        <f t="shared" si="2"/>
        <v>1840</v>
      </c>
      <c r="CO10">
        <f t="shared" si="2"/>
        <v>1860</v>
      </c>
      <c r="CP10">
        <f t="shared" si="2"/>
        <v>1880</v>
      </c>
      <c r="CQ10">
        <f t="shared" si="2"/>
        <v>1900</v>
      </c>
      <c r="CR10">
        <f t="shared" si="2"/>
        <v>1920</v>
      </c>
      <c r="CS10">
        <f t="shared" si="2"/>
        <v>1940</v>
      </c>
      <c r="CT10">
        <f t="shared" si="2"/>
        <v>1960</v>
      </c>
      <c r="CU10">
        <f t="shared" si="2"/>
        <v>1980</v>
      </c>
      <c r="CV10" t="s">
        <v>95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16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0.5</v>
      </c>
      <c r="AZ15">
        <v>1</v>
      </c>
      <c r="BA15">
        <v>1.5</v>
      </c>
      <c r="BB15">
        <v>2</v>
      </c>
      <c r="BC15">
        <v>2.5</v>
      </c>
      <c r="BD15">
        <v>3</v>
      </c>
      <c r="BE15">
        <v>3.5</v>
      </c>
      <c r="BF15">
        <v>4</v>
      </c>
      <c r="BG15">
        <v>4.5</v>
      </c>
      <c r="BH15">
        <v>5</v>
      </c>
      <c r="BI15">
        <v>5.5</v>
      </c>
      <c r="BJ15">
        <v>6</v>
      </c>
      <c r="BK15">
        <v>6.5</v>
      </c>
      <c r="BL15">
        <v>7</v>
      </c>
      <c r="BM15">
        <v>7.5</v>
      </c>
      <c r="BN15">
        <v>8</v>
      </c>
      <c r="BO15">
        <v>8.5</v>
      </c>
      <c r="BP15">
        <v>9</v>
      </c>
      <c r="BQ15">
        <v>9</v>
      </c>
      <c r="BR15">
        <v>9.5</v>
      </c>
      <c r="BS15">
        <v>9.5</v>
      </c>
      <c r="BT15">
        <v>10</v>
      </c>
      <c r="BU15">
        <f>BT15+0.25</f>
        <v>10.25</v>
      </c>
      <c r="BV15">
        <f t="shared" ref="BV15:CU15" si="3">BU15+0.25</f>
        <v>10.5</v>
      </c>
      <c r="BW15">
        <f t="shared" si="3"/>
        <v>10.75</v>
      </c>
      <c r="BX15">
        <f t="shared" si="3"/>
        <v>11</v>
      </c>
      <c r="BY15">
        <f t="shared" si="3"/>
        <v>11.25</v>
      </c>
      <c r="BZ15">
        <f t="shared" si="3"/>
        <v>11.5</v>
      </c>
      <c r="CA15">
        <f t="shared" si="3"/>
        <v>11.75</v>
      </c>
      <c r="CB15">
        <f t="shared" si="3"/>
        <v>12</v>
      </c>
      <c r="CC15">
        <f t="shared" si="3"/>
        <v>12.25</v>
      </c>
      <c r="CD15">
        <f t="shared" si="3"/>
        <v>12.5</v>
      </c>
      <c r="CE15">
        <f t="shared" si="3"/>
        <v>12.75</v>
      </c>
      <c r="CF15">
        <f t="shared" si="3"/>
        <v>13</v>
      </c>
      <c r="CG15">
        <f t="shared" si="3"/>
        <v>13.25</v>
      </c>
      <c r="CH15">
        <f t="shared" si="3"/>
        <v>13.5</v>
      </c>
      <c r="CI15">
        <f t="shared" si="3"/>
        <v>13.75</v>
      </c>
      <c r="CJ15">
        <f t="shared" si="3"/>
        <v>14</v>
      </c>
      <c r="CK15">
        <f t="shared" si="3"/>
        <v>14.25</v>
      </c>
      <c r="CL15">
        <f t="shared" si="3"/>
        <v>14.5</v>
      </c>
      <c r="CM15">
        <f t="shared" si="3"/>
        <v>14.75</v>
      </c>
      <c r="CN15">
        <f t="shared" si="3"/>
        <v>15</v>
      </c>
      <c r="CO15">
        <f t="shared" si="3"/>
        <v>15.25</v>
      </c>
      <c r="CP15">
        <f t="shared" si="3"/>
        <v>15.5</v>
      </c>
      <c r="CQ15">
        <f t="shared" si="3"/>
        <v>15.75</v>
      </c>
      <c r="CR15">
        <f t="shared" si="3"/>
        <v>16</v>
      </c>
      <c r="CS15">
        <f t="shared" si="3"/>
        <v>16.25</v>
      </c>
      <c r="CT15">
        <f t="shared" si="3"/>
        <v>16.5</v>
      </c>
      <c r="CU15">
        <f t="shared" si="3"/>
        <v>16.75</v>
      </c>
      <c r="CV15" t="s">
        <v>57</v>
      </c>
    </row>
    <row r="16" spans="1:100" x14ac:dyDescent="0.25">
      <c r="A16" t="s">
        <v>17</v>
      </c>
    </row>
    <row r="17" spans="1:101" x14ac:dyDescent="0.25">
      <c r="A17" t="s">
        <v>18</v>
      </c>
    </row>
    <row r="18" spans="1:101" x14ac:dyDescent="0.25">
      <c r="A18" t="s">
        <v>19</v>
      </c>
    </row>
    <row r="19" spans="1:101" x14ac:dyDescent="0.25">
      <c r="A19" t="s">
        <v>20</v>
      </c>
    </row>
    <row r="20" spans="1:101" x14ac:dyDescent="0.25">
      <c r="A20" t="s">
        <v>21</v>
      </c>
    </row>
    <row r="21" spans="1:101" x14ac:dyDescent="0.25">
      <c r="A21" t="s">
        <v>59</v>
      </c>
    </row>
    <row r="22" spans="1:101" x14ac:dyDescent="0.25">
      <c r="A22" t="s">
        <v>22</v>
      </c>
    </row>
    <row r="23" spans="1:101" x14ac:dyDescent="0.25">
      <c r="A23" t="s">
        <v>93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1.5</v>
      </c>
      <c r="AZ23">
        <v>3</v>
      </c>
      <c r="BA23">
        <v>4.5</v>
      </c>
      <c r="BB23">
        <v>6</v>
      </c>
      <c r="BC23">
        <v>7.5</v>
      </c>
      <c r="BD23">
        <v>9</v>
      </c>
      <c r="BE23">
        <v>10.5</v>
      </c>
      <c r="BF23">
        <v>12</v>
      </c>
      <c r="BG23">
        <v>13.5</v>
      </c>
      <c r="BH23">
        <v>15</v>
      </c>
      <c r="BI23">
        <v>16.5</v>
      </c>
      <c r="BJ23">
        <v>18</v>
      </c>
      <c r="BK23">
        <v>19.5</v>
      </c>
      <c r="BL23">
        <v>21</v>
      </c>
      <c r="BM23">
        <v>22.5</v>
      </c>
      <c r="BN23">
        <v>24</v>
      </c>
      <c r="BO23">
        <v>25.5</v>
      </c>
      <c r="BP23">
        <v>27</v>
      </c>
      <c r="BQ23">
        <v>27</v>
      </c>
      <c r="BR23">
        <v>28.5</v>
      </c>
      <c r="BS23">
        <v>28.5</v>
      </c>
      <c r="BT23">
        <v>30</v>
      </c>
      <c r="BU23">
        <f>BT23+0.25</f>
        <v>30.25</v>
      </c>
      <c r="BV23">
        <f t="shared" ref="BV23:CU23" si="4">BU23+0.25</f>
        <v>30.5</v>
      </c>
      <c r="BW23">
        <f t="shared" si="4"/>
        <v>30.75</v>
      </c>
      <c r="BX23">
        <f t="shared" si="4"/>
        <v>31</v>
      </c>
      <c r="BY23">
        <f t="shared" si="4"/>
        <v>31.25</v>
      </c>
      <c r="BZ23">
        <f t="shared" si="4"/>
        <v>31.5</v>
      </c>
      <c r="CA23">
        <f t="shared" si="4"/>
        <v>31.75</v>
      </c>
      <c r="CB23">
        <f t="shared" si="4"/>
        <v>32</v>
      </c>
      <c r="CC23">
        <f t="shared" si="4"/>
        <v>32.25</v>
      </c>
      <c r="CD23">
        <f t="shared" si="4"/>
        <v>32.5</v>
      </c>
      <c r="CE23">
        <f t="shared" si="4"/>
        <v>32.75</v>
      </c>
      <c r="CF23">
        <f t="shared" si="4"/>
        <v>33</v>
      </c>
      <c r="CG23">
        <f t="shared" si="4"/>
        <v>33.25</v>
      </c>
      <c r="CH23">
        <f t="shared" si="4"/>
        <v>33.5</v>
      </c>
      <c r="CI23">
        <f t="shared" si="4"/>
        <v>33.75</v>
      </c>
      <c r="CJ23">
        <f t="shared" si="4"/>
        <v>34</v>
      </c>
      <c r="CK23">
        <f t="shared" si="4"/>
        <v>34.25</v>
      </c>
      <c r="CL23">
        <f t="shared" si="4"/>
        <v>34.5</v>
      </c>
      <c r="CM23">
        <f t="shared" si="4"/>
        <v>34.75</v>
      </c>
      <c r="CN23">
        <f t="shared" si="4"/>
        <v>35</v>
      </c>
      <c r="CO23">
        <f t="shared" si="4"/>
        <v>35.25</v>
      </c>
      <c r="CP23">
        <f t="shared" si="4"/>
        <v>35.5</v>
      </c>
      <c r="CQ23">
        <f t="shared" si="4"/>
        <v>35.75</v>
      </c>
      <c r="CR23">
        <f t="shared" si="4"/>
        <v>36</v>
      </c>
      <c r="CS23">
        <f t="shared" si="4"/>
        <v>36.25</v>
      </c>
      <c r="CT23">
        <f t="shared" si="4"/>
        <v>36.5</v>
      </c>
      <c r="CU23">
        <f t="shared" si="4"/>
        <v>36.75</v>
      </c>
      <c r="CV23" t="s">
        <v>90</v>
      </c>
    </row>
    <row r="24" spans="1:101" x14ac:dyDescent="0.25">
      <c r="A24" t="s">
        <v>24</v>
      </c>
    </row>
    <row r="25" spans="1:101" x14ac:dyDescent="0.25">
      <c r="A25" t="s">
        <v>94</v>
      </c>
      <c r="B25">
        <v>4</v>
      </c>
      <c r="C25">
        <v>6</v>
      </c>
      <c r="D25">
        <v>8</v>
      </c>
      <c r="E25">
        <v>10</v>
      </c>
      <c r="F25">
        <v>12</v>
      </c>
      <c r="G25">
        <v>14</v>
      </c>
      <c r="H25">
        <v>16</v>
      </c>
      <c r="I25">
        <v>18</v>
      </c>
      <c r="J25">
        <v>20</v>
      </c>
      <c r="K25">
        <v>22</v>
      </c>
      <c r="L25">
        <v>24</v>
      </c>
      <c r="M25">
        <v>26</v>
      </c>
      <c r="N25">
        <v>28</v>
      </c>
      <c r="O25">
        <v>30</v>
      </c>
      <c r="P25">
        <v>32</v>
      </c>
      <c r="Q25">
        <v>34</v>
      </c>
      <c r="R25">
        <v>36</v>
      </c>
      <c r="S25">
        <v>38</v>
      </c>
      <c r="T25">
        <v>40</v>
      </c>
      <c r="U25">
        <v>42</v>
      </c>
      <c r="V25">
        <v>44</v>
      </c>
      <c r="W25">
        <v>46</v>
      </c>
      <c r="X25">
        <v>48</v>
      </c>
      <c r="Y25">
        <v>50</v>
      </c>
      <c r="Z25">
        <v>52</v>
      </c>
      <c r="AA25">
        <v>54</v>
      </c>
      <c r="AB25">
        <v>56</v>
      </c>
      <c r="AC25">
        <v>58</v>
      </c>
      <c r="AD25">
        <v>60</v>
      </c>
      <c r="AE25">
        <v>62</v>
      </c>
      <c r="AF25">
        <v>64</v>
      </c>
      <c r="AG25">
        <v>66</v>
      </c>
      <c r="AH25">
        <v>68</v>
      </c>
      <c r="AI25">
        <v>70</v>
      </c>
      <c r="AJ25">
        <v>72</v>
      </c>
      <c r="AK25">
        <v>74</v>
      </c>
      <c r="AL25">
        <v>76</v>
      </c>
      <c r="AM25">
        <v>78</v>
      </c>
      <c r="AN25">
        <v>80</v>
      </c>
      <c r="AO25">
        <v>82</v>
      </c>
      <c r="AP25">
        <v>84</v>
      </c>
      <c r="AQ25">
        <v>86</v>
      </c>
      <c r="AR25">
        <v>88</v>
      </c>
      <c r="AS25">
        <v>90</v>
      </c>
      <c r="AT25">
        <v>92</v>
      </c>
      <c r="AU25">
        <v>94</v>
      </c>
      <c r="AV25">
        <v>96</v>
      </c>
      <c r="AW25">
        <v>98</v>
      </c>
      <c r="AX25">
        <v>100</v>
      </c>
      <c r="AY25">
        <v>102</v>
      </c>
      <c r="AZ25">
        <v>104</v>
      </c>
      <c r="BA25">
        <v>106</v>
      </c>
      <c r="BB25">
        <v>108</v>
      </c>
      <c r="BC25">
        <v>110</v>
      </c>
      <c r="BD25">
        <v>112</v>
      </c>
      <c r="BE25">
        <v>114</v>
      </c>
      <c r="BF25">
        <v>116</v>
      </c>
      <c r="BG25">
        <v>118</v>
      </c>
      <c r="BH25">
        <v>120</v>
      </c>
      <c r="BI25">
        <v>122</v>
      </c>
      <c r="BJ25">
        <v>124</v>
      </c>
      <c r="BK25">
        <v>126</v>
      </c>
      <c r="BL25">
        <v>128</v>
      </c>
      <c r="BM25">
        <v>130</v>
      </c>
      <c r="BN25">
        <v>132</v>
      </c>
      <c r="BO25">
        <v>134</v>
      </c>
      <c r="BP25">
        <v>136</v>
      </c>
      <c r="BQ25">
        <v>138</v>
      </c>
      <c r="BR25">
        <v>140</v>
      </c>
      <c r="BS25">
        <v>142</v>
      </c>
      <c r="BT25">
        <v>144</v>
      </c>
      <c r="BU25">
        <v>146</v>
      </c>
      <c r="BV25">
        <v>148</v>
      </c>
      <c r="BW25">
        <v>150</v>
      </c>
      <c r="BX25">
        <v>152</v>
      </c>
      <c r="BY25">
        <v>154</v>
      </c>
      <c r="BZ25">
        <v>156</v>
      </c>
      <c r="CA25">
        <v>158</v>
      </c>
      <c r="CB25">
        <v>160</v>
      </c>
      <c r="CC25">
        <v>162</v>
      </c>
      <c r="CD25">
        <v>164</v>
      </c>
      <c r="CE25">
        <v>166</v>
      </c>
      <c r="CF25">
        <v>168</v>
      </c>
      <c r="CG25">
        <v>170</v>
      </c>
      <c r="CH25">
        <v>172</v>
      </c>
      <c r="CI25">
        <v>174</v>
      </c>
      <c r="CJ25">
        <v>176</v>
      </c>
      <c r="CK25">
        <v>178</v>
      </c>
      <c r="CL25">
        <v>180</v>
      </c>
      <c r="CM25">
        <v>182</v>
      </c>
      <c r="CN25">
        <v>184</v>
      </c>
      <c r="CO25">
        <v>186</v>
      </c>
      <c r="CP25">
        <v>188</v>
      </c>
      <c r="CQ25">
        <v>190</v>
      </c>
      <c r="CR25">
        <v>192</v>
      </c>
      <c r="CS25">
        <v>194</v>
      </c>
      <c r="CT25">
        <v>196</v>
      </c>
      <c r="CU25">
        <v>198</v>
      </c>
      <c r="CV25" t="s">
        <v>1</v>
      </c>
    </row>
    <row r="26" spans="1:101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0.5</v>
      </c>
      <c r="AZ26">
        <v>1</v>
      </c>
      <c r="BA26">
        <v>1.5</v>
      </c>
      <c r="BB26">
        <v>2</v>
      </c>
      <c r="BC26">
        <v>2.5</v>
      </c>
      <c r="BD26">
        <v>3</v>
      </c>
      <c r="BE26">
        <v>3.5</v>
      </c>
      <c r="BF26">
        <v>4</v>
      </c>
      <c r="BG26">
        <v>4.5</v>
      </c>
      <c r="BH26">
        <v>5</v>
      </c>
      <c r="BI26">
        <v>5.5</v>
      </c>
      <c r="BJ26">
        <v>6</v>
      </c>
      <c r="BK26">
        <v>6.5</v>
      </c>
      <c r="BL26">
        <v>7</v>
      </c>
      <c r="BM26">
        <v>7.5</v>
      </c>
      <c r="BN26">
        <v>8</v>
      </c>
      <c r="BO26">
        <v>8.5</v>
      </c>
      <c r="BP26">
        <v>9</v>
      </c>
      <c r="BQ26">
        <v>9</v>
      </c>
      <c r="BR26">
        <v>9.5</v>
      </c>
      <c r="BS26">
        <v>9.5</v>
      </c>
      <c r="BT26">
        <v>10</v>
      </c>
      <c r="BU26">
        <f>BT26+0.25</f>
        <v>10.25</v>
      </c>
      <c r="BV26">
        <f t="shared" ref="BV26:CU26" si="5">BU26+0.25</f>
        <v>10.5</v>
      </c>
      <c r="BW26">
        <f t="shared" si="5"/>
        <v>10.75</v>
      </c>
      <c r="BX26">
        <f t="shared" si="5"/>
        <v>11</v>
      </c>
      <c r="BY26">
        <f t="shared" si="5"/>
        <v>11.25</v>
      </c>
      <c r="BZ26">
        <f t="shared" si="5"/>
        <v>11.5</v>
      </c>
      <c r="CA26">
        <f t="shared" si="5"/>
        <v>11.75</v>
      </c>
      <c r="CB26">
        <f t="shared" si="5"/>
        <v>12</v>
      </c>
      <c r="CC26">
        <f t="shared" si="5"/>
        <v>12.25</v>
      </c>
      <c r="CD26">
        <f t="shared" si="5"/>
        <v>12.5</v>
      </c>
      <c r="CE26">
        <f t="shared" si="5"/>
        <v>12.75</v>
      </c>
      <c r="CF26">
        <f t="shared" si="5"/>
        <v>13</v>
      </c>
      <c r="CG26">
        <f t="shared" si="5"/>
        <v>13.25</v>
      </c>
      <c r="CH26">
        <f t="shared" si="5"/>
        <v>13.5</v>
      </c>
      <c r="CI26">
        <f t="shared" si="5"/>
        <v>13.75</v>
      </c>
      <c r="CJ26">
        <f t="shared" si="5"/>
        <v>14</v>
      </c>
      <c r="CK26">
        <f t="shared" si="5"/>
        <v>14.25</v>
      </c>
      <c r="CL26">
        <f t="shared" si="5"/>
        <v>14.5</v>
      </c>
      <c r="CM26">
        <f t="shared" si="5"/>
        <v>14.75</v>
      </c>
      <c r="CN26">
        <f t="shared" si="5"/>
        <v>15</v>
      </c>
      <c r="CO26">
        <f t="shared" si="5"/>
        <v>15.25</v>
      </c>
      <c r="CP26">
        <f t="shared" si="5"/>
        <v>15.5</v>
      </c>
      <c r="CQ26">
        <f t="shared" si="5"/>
        <v>15.75</v>
      </c>
      <c r="CR26">
        <f t="shared" si="5"/>
        <v>16</v>
      </c>
      <c r="CS26">
        <f t="shared" si="5"/>
        <v>16.25</v>
      </c>
      <c r="CT26">
        <f t="shared" si="5"/>
        <v>16.5</v>
      </c>
      <c r="CU26">
        <f t="shared" si="5"/>
        <v>16.75</v>
      </c>
      <c r="CV26" t="s">
        <v>57</v>
      </c>
    </row>
    <row r="30" spans="1:101" x14ac:dyDescent="0.25">
      <c r="B30">
        <v>1</v>
      </c>
      <c r="C30" s="1">
        <f>B30+1</f>
        <v>2</v>
      </c>
      <c r="D30" s="1">
        <f t="shared" ref="D30:BO30" si="6">C30+1</f>
        <v>3</v>
      </c>
      <c r="E30" s="1">
        <f t="shared" si="6"/>
        <v>4</v>
      </c>
      <c r="F30" s="1">
        <f t="shared" si="6"/>
        <v>5</v>
      </c>
      <c r="G30" s="1">
        <f t="shared" si="6"/>
        <v>6</v>
      </c>
      <c r="H30" s="1">
        <f t="shared" si="6"/>
        <v>7</v>
      </c>
      <c r="I30" s="1">
        <f t="shared" si="6"/>
        <v>8</v>
      </c>
      <c r="J30" s="1">
        <f t="shared" si="6"/>
        <v>9</v>
      </c>
      <c r="K30" s="1">
        <f t="shared" si="6"/>
        <v>10</v>
      </c>
      <c r="L30" s="1">
        <f t="shared" si="6"/>
        <v>11</v>
      </c>
      <c r="M30" s="1">
        <f t="shared" si="6"/>
        <v>12</v>
      </c>
      <c r="N30" s="1">
        <f t="shared" si="6"/>
        <v>13</v>
      </c>
      <c r="O30" s="1">
        <f t="shared" si="6"/>
        <v>14</v>
      </c>
      <c r="P30" s="1">
        <f t="shared" si="6"/>
        <v>15</v>
      </c>
      <c r="Q30" s="1">
        <f t="shared" si="6"/>
        <v>16</v>
      </c>
      <c r="R30" s="1">
        <f t="shared" si="6"/>
        <v>17</v>
      </c>
      <c r="S30" s="1">
        <f t="shared" si="6"/>
        <v>18</v>
      </c>
      <c r="T30" s="1">
        <f t="shared" si="6"/>
        <v>19</v>
      </c>
      <c r="U30" s="1">
        <f t="shared" si="6"/>
        <v>20</v>
      </c>
      <c r="V30" s="1">
        <f t="shared" si="6"/>
        <v>21</v>
      </c>
      <c r="W30" s="1">
        <f t="shared" si="6"/>
        <v>22</v>
      </c>
      <c r="X30" s="1">
        <f t="shared" si="6"/>
        <v>23</v>
      </c>
      <c r="Y30" s="1">
        <f t="shared" si="6"/>
        <v>24</v>
      </c>
      <c r="Z30" s="1">
        <f t="shared" si="6"/>
        <v>25</v>
      </c>
      <c r="AA30" s="1">
        <f t="shared" si="6"/>
        <v>26</v>
      </c>
      <c r="AB30" s="1">
        <f t="shared" si="6"/>
        <v>27</v>
      </c>
      <c r="AC30" s="1">
        <f t="shared" si="6"/>
        <v>28</v>
      </c>
      <c r="AD30" s="1">
        <f t="shared" si="6"/>
        <v>29</v>
      </c>
      <c r="AE30" s="1">
        <f t="shared" si="6"/>
        <v>30</v>
      </c>
      <c r="AF30" s="1">
        <f t="shared" si="6"/>
        <v>31</v>
      </c>
      <c r="AG30" s="1">
        <f t="shared" si="6"/>
        <v>32</v>
      </c>
      <c r="AH30" s="1">
        <f t="shared" si="6"/>
        <v>33</v>
      </c>
      <c r="AI30" s="1">
        <f t="shared" si="6"/>
        <v>34</v>
      </c>
      <c r="AJ30" s="1">
        <f t="shared" si="6"/>
        <v>35</v>
      </c>
      <c r="AK30" s="1">
        <f t="shared" si="6"/>
        <v>36</v>
      </c>
      <c r="AL30" s="1">
        <f t="shared" si="6"/>
        <v>37</v>
      </c>
      <c r="AM30" s="1">
        <f t="shared" si="6"/>
        <v>38</v>
      </c>
      <c r="AN30" s="1">
        <f t="shared" si="6"/>
        <v>39</v>
      </c>
      <c r="AO30" s="1">
        <f t="shared" si="6"/>
        <v>40</v>
      </c>
      <c r="AP30" s="1">
        <f t="shared" si="6"/>
        <v>41</v>
      </c>
      <c r="AQ30" s="1">
        <f t="shared" si="6"/>
        <v>42</v>
      </c>
      <c r="AR30" s="1">
        <f t="shared" si="6"/>
        <v>43</v>
      </c>
      <c r="AS30" s="1">
        <f t="shared" si="6"/>
        <v>44</v>
      </c>
      <c r="AT30" s="1">
        <f t="shared" si="6"/>
        <v>45</v>
      </c>
      <c r="AU30" s="1">
        <f t="shared" si="6"/>
        <v>46</v>
      </c>
      <c r="AV30" s="1">
        <f t="shared" si="6"/>
        <v>47</v>
      </c>
      <c r="AW30" s="1">
        <f t="shared" si="6"/>
        <v>48</v>
      </c>
      <c r="AX30" s="1">
        <f t="shared" si="6"/>
        <v>49</v>
      </c>
      <c r="AY30" s="1">
        <f t="shared" si="6"/>
        <v>50</v>
      </c>
      <c r="AZ30" s="1">
        <f t="shared" si="6"/>
        <v>51</v>
      </c>
      <c r="BA30" s="1">
        <f t="shared" si="6"/>
        <v>52</v>
      </c>
      <c r="BB30" s="1">
        <f t="shared" si="6"/>
        <v>53</v>
      </c>
      <c r="BC30" s="1">
        <f t="shared" si="6"/>
        <v>54</v>
      </c>
      <c r="BD30" s="1">
        <f t="shared" si="6"/>
        <v>55</v>
      </c>
      <c r="BE30" s="1">
        <f t="shared" si="6"/>
        <v>56</v>
      </c>
      <c r="BF30" s="1">
        <f t="shared" si="6"/>
        <v>57</v>
      </c>
      <c r="BG30" s="1">
        <f t="shared" si="6"/>
        <v>58</v>
      </c>
      <c r="BH30" s="1">
        <f t="shared" si="6"/>
        <v>59</v>
      </c>
      <c r="BI30" s="1">
        <f t="shared" si="6"/>
        <v>60</v>
      </c>
      <c r="BJ30" s="1">
        <f t="shared" si="6"/>
        <v>61</v>
      </c>
      <c r="BK30" s="1">
        <f t="shared" si="6"/>
        <v>62</v>
      </c>
      <c r="BL30" s="1">
        <f t="shared" si="6"/>
        <v>63</v>
      </c>
      <c r="BM30" s="1">
        <f t="shared" si="6"/>
        <v>64</v>
      </c>
      <c r="BN30" s="1">
        <f t="shared" si="6"/>
        <v>65</v>
      </c>
      <c r="BO30" s="1">
        <f t="shared" si="6"/>
        <v>66</v>
      </c>
      <c r="BP30" s="1">
        <f t="shared" ref="BP30:CV30" si="7">BO30+1</f>
        <v>67</v>
      </c>
      <c r="BQ30" s="1">
        <f t="shared" si="7"/>
        <v>68</v>
      </c>
      <c r="BR30" s="1">
        <f t="shared" si="7"/>
        <v>69</v>
      </c>
      <c r="BS30" s="1">
        <f t="shared" si="7"/>
        <v>70</v>
      </c>
      <c r="BT30" s="1">
        <f t="shared" si="7"/>
        <v>71</v>
      </c>
      <c r="BU30" s="1">
        <f t="shared" si="7"/>
        <v>72</v>
      </c>
      <c r="BV30" s="1">
        <f t="shared" si="7"/>
        <v>73</v>
      </c>
      <c r="BW30" s="1">
        <f t="shared" si="7"/>
        <v>74</v>
      </c>
      <c r="BX30" s="1">
        <f t="shared" si="7"/>
        <v>75</v>
      </c>
      <c r="BY30" s="1">
        <f t="shared" si="7"/>
        <v>76</v>
      </c>
      <c r="BZ30" s="1">
        <f t="shared" si="7"/>
        <v>77</v>
      </c>
      <c r="CA30" s="1">
        <f t="shared" si="7"/>
        <v>78</v>
      </c>
      <c r="CB30" s="1">
        <f t="shared" si="7"/>
        <v>79</v>
      </c>
      <c r="CC30" s="1">
        <f t="shared" si="7"/>
        <v>80</v>
      </c>
      <c r="CD30" s="1">
        <f t="shared" si="7"/>
        <v>81</v>
      </c>
      <c r="CE30" s="1">
        <f t="shared" si="7"/>
        <v>82</v>
      </c>
      <c r="CF30" s="1">
        <f t="shared" si="7"/>
        <v>83</v>
      </c>
      <c r="CG30" s="1">
        <f t="shared" si="7"/>
        <v>84</v>
      </c>
      <c r="CH30" s="1">
        <f t="shared" si="7"/>
        <v>85</v>
      </c>
      <c r="CI30" s="1">
        <f t="shared" si="7"/>
        <v>86</v>
      </c>
      <c r="CJ30" s="1">
        <f t="shared" si="7"/>
        <v>87</v>
      </c>
      <c r="CK30" s="1">
        <f t="shared" si="7"/>
        <v>88</v>
      </c>
      <c r="CL30" s="1">
        <f t="shared" si="7"/>
        <v>89</v>
      </c>
      <c r="CM30" s="1">
        <f t="shared" si="7"/>
        <v>90</v>
      </c>
      <c r="CN30" s="1">
        <f t="shared" si="7"/>
        <v>91</v>
      </c>
      <c r="CO30" s="1">
        <f t="shared" si="7"/>
        <v>92</v>
      </c>
      <c r="CP30" s="1">
        <f t="shared" si="7"/>
        <v>93</v>
      </c>
      <c r="CQ30" s="1">
        <f t="shared" si="7"/>
        <v>94</v>
      </c>
      <c r="CR30" s="1">
        <f t="shared" si="7"/>
        <v>95</v>
      </c>
      <c r="CS30" s="1">
        <f t="shared" si="7"/>
        <v>96</v>
      </c>
      <c r="CT30" s="1">
        <f t="shared" si="7"/>
        <v>97</v>
      </c>
      <c r="CU30" s="1">
        <f t="shared" si="7"/>
        <v>98</v>
      </c>
      <c r="CV30" s="1">
        <f t="shared" si="7"/>
        <v>99</v>
      </c>
      <c r="CW30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V24"/>
  <sheetViews>
    <sheetView workbookViewId="0">
      <selection activeCell="A24" sqref="A24:XFD24"/>
    </sheetView>
  </sheetViews>
  <sheetFormatPr defaultRowHeight="15" x14ac:dyDescent="0.25"/>
  <cols>
    <col min="1" max="1" width="52.42578125" bestFit="1" customWidth="1"/>
    <col min="2" max="3" width="3" bestFit="1" customWidth="1"/>
    <col min="4" max="38" width="4" bestFit="1" customWidth="1"/>
    <col min="39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60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72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0">BU2+0.25</f>
        <v>10.5</v>
      </c>
      <c r="BW2">
        <f t="shared" si="0"/>
        <v>10.75</v>
      </c>
      <c r="BX2">
        <f t="shared" si="0"/>
        <v>11</v>
      </c>
      <c r="BY2">
        <f t="shared" si="0"/>
        <v>11.25</v>
      </c>
      <c r="BZ2">
        <f t="shared" si="0"/>
        <v>11.5</v>
      </c>
      <c r="CA2">
        <f t="shared" si="0"/>
        <v>11.75</v>
      </c>
      <c r="CB2">
        <f t="shared" si="0"/>
        <v>12</v>
      </c>
      <c r="CC2">
        <f t="shared" si="0"/>
        <v>12.25</v>
      </c>
      <c r="CD2">
        <f t="shared" si="0"/>
        <v>12.5</v>
      </c>
      <c r="CE2">
        <f t="shared" si="0"/>
        <v>12.75</v>
      </c>
      <c r="CF2">
        <f t="shared" si="0"/>
        <v>13</v>
      </c>
      <c r="CG2">
        <f t="shared" si="0"/>
        <v>13.25</v>
      </c>
      <c r="CH2">
        <f t="shared" si="0"/>
        <v>13.5</v>
      </c>
      <c r="CI2">
        <f t="shared" si="0"/>
        <v>13.75</v>
      </c>
      <c r="CJ2">
        <f t="shared" si="0"/>
        <v>14</v>
      </c>
      <c r="CK2">
        <f t="shared" si="0"/>
        <v>14.25</v>
      </c>
      <c r="CL2">
        <f t="shared" si="0"/>
        <v>14.5</v>
      </c>
      <c r="CM2">
        <f t="shared" si="0"/>
        <v>14.75</v>
      </c>
      <c r="CN2">
        <f t="shared" si="0"/>
        <v>15</v>
      </c>
      <c r="CO2">
        <f t="shared" si="0"/>
        <v>15.25</v>
      </c>
      <c r="CP2">
        <f t="shared" si="0"/>
        <v>15.5</v>
      </c>
      <c r="CQ2">
        <f t="shared" si="0"/>
        <v>15.75</v>
      </c>
      <c r="CR2">
        <f t="shared" si="0"/>
        <v>16</v>
      </c>
      <c r="CS2">
        <f t="shared" si="0"/>
        <v>16.25</v>
      </c>
      <c r="CT2">
        <f t="shared" si="0"/>
        <v>16.5</v>
      </c>
      <c r="CU2">
        <f t="shared" si="0"/>
        <v>16.75</v>
      </c>
      <c r="CV2" t="s">
        <v>57</v>
      </c>
    </row>
    <row r="3" spans="1:100" x14ac:dyDescent="0.25">
      <c r="A3" t="s">
        <v>51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72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1</v>
      </c>
      <c r="AZ4">
        <v>2</v>
      </c>
      <c r="BA4">
        <v>3</v>
      </c>
      <c r="BB4">
        <v>4</v>
      </c>
      <c r="BC4">
        <v>5</v>
      </c>
      <c r="BD4">
        <v>6</v>
      </c>
      <c r="BE4">
        <v>7</v>
      </c>
      <c r="BF4">
        <v>8</v>
      </c>
      <c r="BG4">
        <v>9</v>
      </c>
      <c r="BH4">
        <v>10</v>
      </c>
      <c r="BI4">
        <v>11</v>
      </c>
      <c r="BJ4">
        <v>12</v>
      </c>
      <c r="BK4">
        <v>13</v>
      </c>
      <c r="BL4">
        <v>14</v>
      </c>
      <c r="BM4">
        <v>15</v>
      </c>
      <c r="BN4">
        <v>16</v>
      </c>
      <c r="BO4">
        <v>17</v>
      </c>
      <c r="BP4">
        <v>18</v>
      </c>
      <c r="BQ4">
        <v>18</v>
      </c>
      <c r="BR4">
        <v>19</v>
      </c>
      <c r="BS4">
        <v>19</v>
      </c>
      <c r="BT4">
        <v>20</v>
      </c>
      <c r="BU4">
        <f>BT4+0.5</f>
        <v>20.5</v>
      </c>
      <c r="BV4">
        <f t="shared" ref="BV4:CU4" si="1">BU4+0.5</f>
        <v>21</v>
      </c>
      <c r="BW4">
        <f t="shared" si="1"/>
        <v>21.5</v>
      </c>
      <c r="BX4">
        <f t="shared" si="1"/>
        <v>22</v>
      </c>
      <c r="BY4">
        <f t="shared" si="1"/>
        <v>22.5</v>
      </c>
      <c r="BZ4">
        <f t="shared" si="1"/>
        <v>23</v>
      </c>
      <c r="CA4">
        <f t="shared" si="1"/>
        <v>23.5</v>
      </c>
      <c r="CB4">
        <f t="shared" si="1"/>
        <v>24</v>
      </c>
      <c r="CC4">
        <f t="shared" si="1"/>
        <v>24.5</v>
      </c>
      <c r="CD4">
        <f t="shared" si="1"/>
        <v>25</v>
      </c>
      <c r="CE4">
        <f t="shared" si="1"/>
        <v>25.5</v>
      </c>
      <c r="CF4">
        <f t="shared" si="1"/>
        <v>26</v>
      </c>
      <c r="CG4">
        <f t="shared" si="1"/>
        <v>26.5</v>
      </c>
      <c r="CH4">
        <f t="shared" si="1"/>
        <v>27</v>
      </c>
      <c r="CI4">
        <f t="shared" si="1"/>
        <v>27.5</v>
      </c>
      <c r="CJ4">
        <f t="shared" si="1"/>
        <v>28</v>
      </c>
      <c r="CK4">
        <f t="shared" si="1"/>
        <v>28.5</v>
      </c>
      <c r="CL4">
        <f t="shared" si="1"/>
        <v>29</v>
      </c>
      <c r="CM4">
        <f t="shared" si="1"/>
        <v>29.5</v>
      </c>
      <c r="CN4">
        <f t="shared" si="1"/>
        <v>30</v>
      </c>
      <c r="CO4">
        <f t="shared" si="1"/>
        <v>30.5</v>
      </c>
      <c r="CP4">
        <f t="shared" si="1"/>
        <v>31</v>
      </c>
      <c r="CQ4">
        <f t="shared" si="1"/>
        <v>31.5</v>
      </c>
      <c r="CR4">
        <f t="shared" si="1"/>
        <v>32</v>
      </c>
      <c r="CS4">
        <f t="shared" si="1"/>
        <v>32.5</v>
      </c>
      <c r="CT4">
        <f t="shared" si="1"/>
        <v>33</v>
      </c>
      <c r="CU4">
        <f t="shared" si="1"/>
        <v>33.5</v>
      </c>
      <c r="CV4" t="s">
        <v>77</v>
      </c>
    </row>
    <row r="5" spans="1:100" x14ac:dyDescent="0.25">
      <c r="A5" t="s">
        <v>96</v>
      </c>
      <c r="B5">
        <v>52</v>
      </c>
      <c r="C5">
        <v>78</v>
      </c>
      <c r="D5">
        <v>104</v>
      </c>
      <c r="E5">
        <v>130</v>
      </c>
      <c r="F5">
        <v>156</v>
      </c>
      <c r="G5">
        <v>182</v>
      </c>
      <c r="H5">
        <v>208</v>
      </c>
      <c r="I5">
        <v>234</v>
      </c>
      <c r="J5">
        <v>260</v>
      </c>
      <c r="K5">
        <v>286</v>
      </c>
      <c r="L5">
        <v>312</v>
      </c>
      <c r="M5">
        <v>338</v>
      </c>
      <c r="N5">
        <v>364</v>
      </c>
      <c r="O5">
        <v>390</v>
      </c>
      <c r="P5">
        <v>416</v>
      </c>
      <c r="Q5">
        <v>442</v>
      </c>
      <c r="R5">
        <v>468</v>
      </c>
      <c r="S5">
        <v>494</v>
      </c>
      <c r="T5">
        <v>520</v>
      </c>
      <c r="U5">
        <v>546</v>
      </c>
      <c r="V5">
        <v>572</v>
      </c>
      <c r="W5">
        <v>598</v>
      </c>
      <c r="X5">
        <v>624</v>
      </c>
      <c r="Y5">
        <v>650</v>
      </c>
      <c r="Z5">
        <v>676</v>
      </c>
      <c r="AA5">
        <v>702</v>
      </c>
      <c r="AB5">
        <v>728</v>
      </c>
      <c r="AC5">
        <v>754</v>
      </c>
      <c r="AD5">
        <v>780</v>
      </c>
      <c r="AE5">
        <v>806</v>
      </c>
      <c r="AF5">
        <v>832</v>
      </c>
      <c r="AG5">
        <v>858</v>
      </c>
      <c r="AH5">
        <v>884</v>
      </c>
      <c r="AI5">
        <v>910</v>
      </c>
      <c r="AJ5">
        <v>936</v>
      </c>
      <c r="AK5">
        <v>962</v>
      </c>
      <c r="AL5">
        <v>988</v>
      </c>
      <c r="AM5">
        <v>1014</v>
      </c>
      <c r="AN5">
        <v>1040</v>
      </c>
      <c r="AO5">
        <v>1066</v>
      </c>
      <c r="AP5">
        <v>1092</v>
      </c>
      <c r="AQ5">
        <v>1118</v>
      </c>
      <c r="AR5">
        <v>1144</v>
      </c>
      <c r="AS5">
        <v>1170</v>
      </c>
      <c r="AT5">
        <v>1196</v>
      </c>
      <c r="AU5">
        <v>1222</v>
      </c>
      <c r="AV5">
        <v>1248</v>
      </c>
      <c r="AW5">
        <v>1274</v>
      </c>
      <c r="AX5">
        <v>1300</v>
      </c>
      <c r="AY5">
        <v>1326</v>
      </c>
      <c r="AZ5">
        <v>1352</v>
      </c>
      <c r="BA5">
        <v>1378</v>
      </c>
      <c r="BB5">
        <v>1404</v>
      </c>
      <c r="BC5">
        <v>1430</v>
      </c>
      <c r="BD5">
        <v>1456</v>
      </c>
      <c r="BE5">
        <v>1482</v>
      </c>
      <c r="BF5">
        <v>1508</v>
      </c>
      <c r="BG5">
        <v>1534</v>
      </c>
      <c r="BH5">
        <v>1560</v>
      </c>
      <c r="BI5">
        <v>1586</v>
      </c>
      <c r="BJ5">
        <v>1612</v>
      </c>
      <c r="BK5">
        <v>1638</v>
      </c>
      <c r="BL5">
        <v>1664</v>
      </c>
      <c r="BM5">
        <v>1690</v>
      </c>
      <c r="BN5">
        <v>1716</v>
      </c>
      <c r="BO5">
        <v>1742</v>
      </c>
      <c r="BP5">
        <v>1768</v>
      </c>
      <c r="BQ5">
        <v>1794</v>
      </c>
      <c r="BR5">
        <v>1820</v>
      </c>
      <c r="BS5">
        <v>1846</v>
      </c>
      <c r="BT5">
        <v>1872</v>
      </c>
      <c r="BU5">
        <v>1898</v>
      </c>
      <c r="BV5">
        <v>1924</v>
      </c>
      <c r="BW5">
        <v>1950</v>
      </c>
      <c r="BX5">
        <v>1976</v>
      </c>
      <c r="BY5">
        <v>2002</v>
      </c>
      <c r="BZ5">
        <v>2028</v>
      </c>
      <c r="CA5">
        <v>2054</v>
      </c>
      <c r="CB5">
        <v>2080</v>
      </c>
      <c r="CC5">
        <v>2106</v>
      </c>
      <c r="CD5">
        <v>2132</v>
      </c>
      <c r="CE5">
        <v>2158</v>
      </c>
      <c r="CF5">
        <v>2184</v>
      </c>
      <c r="CG5">
        <v>2210</v>
      </c>
      <c r="CH5">
        <v>2236</v>
      </c>
      <c r="CI5">
        <v>2262</v>
      </c>
      <c r="CJ5">
        <v>2288</v>
      </c>
      <c r="CK5">
        <v>2314</v>
      </c>
      <c r="CL5">
        <v>2340</v>
      </c>
      <c r="CM5">
        <v>2366</v>
      </c>
      <c r="CN5">
        <v>2392</v>
      </c>
      <c r="CO5">
        <v>2418</v>
      </c>
      <c r="CP5">
        <v>2444</v>
      </c>
      <c r="CQ5">
        <v>2470</v>
      </c>
      <c r="CR5">
        <v>2496</v>
      </c>
      <c r="CS5">
        <v>2522</v>
      </c>
      <c r="CT5">
        <v>2548</v>
      </c>
      <c r="CU5">
        <v>2574</v>
      </c>
      <c r="CV5" t="s">
        <v>64</v>
      </c>
    </row>
    <row r="6" spans="1:100" x14ac:dyDescent="0.25">
      <c r="A6" t="s">
        <v>47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97</v>
      </c>
      <c r="B9">
        <v>24</v>
      </c>
      <c r="C9">
        <v>36</v>
      </c>
      <c r="D9">
        <v>48</v>
      </c>
      <c r="E9">
        <v>60</v>
      </c>
      <c r="F9">
        <v>72</v>
      </c>
      <c r="G9">
        <v>84</v>
      </c>
      <c r="H9">
        <v>96</v>
      </c>
      <c r="I9">
        <v>108</v>
      </c>
      <c r="J9">
        <v>120</v>
      </c>
      <c r="K9">
        <v>132</v>
      </c>
      <c r="L9">
        <v>144</v>
      </c>
      <c r="M9">
        <v>156</v>
      </c>
      <c r="N9">
        <v>168</v>
      </c>
      <c r="O9">
        <v>180</v>
      </c>
      <c r="P9">
        <v>192</v>
      </c>
      <c r="Q9">
        <v>204</v>
      </c>
      <c r="R9">
        <v>216</v>
      </c>
      <c r="S9">
        <v>228</v>
      </c>
      <c r="T9">
        <v>240</v>
      </c>
      <c r="U9">
        <v>252</v>
      </c>
      <c r="V9">
        <v>264</v>
      </c>
      <c r="W9">
        <v>276</v>
      </c>
      <c r="X9">
        <v>288</v>
      </c>
      <c r="Y9">
        <v>300</v>
      </c>
      <c r="Z9">
        <v>312</v>
      </c>
      <c r="AA9">
        <v>324</v>
      </c>
      <c r="AB9">
        <v>336</v>
      </c>
      <c r="AC9">
        <v>348</v>
      </c>
      <c r="AD9">
        <v>360</v>
      </c>
      <c r="AE9">
        <v>372</v>
      </c>
      <c r="AF9">
        <v>384</v>
      </c>
      <c r="AG9">
        <v>396</v>
      </c>
      <c r="AH9">
        <v>408</v>
      </c>
      <c r="AI9">
        <v>420</v>
      </c>
      <c r="AJ9">
        <v>432</v>
      </c>
      <c r="AK9">
        <v>444</v>
      </c>
      <c r="AL9">
        <v>456</v>
      </c>
      <c r="AM9">
        <v>468</v>
      </c>
      <c r="AN9">
        <v>480</v>
      </c>
      <c r="AO9">
        <v>492</v>
      </c>
      <c r="AP9">
        <v>504</v>
      </c>
      <c r="AQ9">
        <v>516</v>
      </c>
      <c r="AR9">
        <v>528</v>
      </c>
      <c r="AS9">
        <v>540</v>
      </c>
      <c r="AT9">
        <v>552</v>
      </c>
      <c r="AU9">
        <v>564</v>
      </c>
      <c r="AV9">
        <v>576</v>
      </c>
      <c r="AW9">
        <v>588</v>
      </c>
      <c r="AX9">
        <v>600</v>
      </c>
      <c r="AY9">
        <v>612</v>
      </c>
      <c r="AZ9">
        <v>624</v>
      </c>
      <c r="BA9">
        <v>636</v>
      </c>
      <c r="BB9">
        <v>648</v>
      </c>
      <c r="BC9">
        <v>660</v>
      </c>
      <c r="BD9">
        <v>672</v>
      </c>
      <c r="BE9">
        <v>684</v>
      </c>
      <c r="BF9">
        <v>696</v>
      </c>
      <c r="BG9">
        <v>708</v>
      </c>
      <c r="BH9">
        <v>720</v>
      </c>
      <c r="BI9">
        <v>732</v>
      </c>
      <c r="BJ9">
        <v>744</v>
      </c>
      <c r="BK9">
        <v>756</v>
      </c>
      <c r="BL9">
        <v>768</v>
      </c>
      <c r="BM9">
        <v>780</v>
      </c>
      <c r="BN9">
        <v>792</v>
      </c>
      <c r="BO9">
        <v>804</v>
      </c>
      <c r="BP9">
        <v>816</v>
      </c>
      <c r="BQ9">
        <v>828</v>
      </c>
      <c r="BR9">
        <v>840</v>
      </c>
      <c r="BS9">
        <v>852</v>
      </c>
      <c r="BT9">
        <v>864</v>
      </c>
      <c r="BU9">
        <v>876</v>
      </c>
      <c r="BV9">
        <v>888</v>
      </c>
      <c r="BW9">
        <v>900</v>
      </c>
      <c r="BX9">
        <v>912</v>
      </c>
      <c r="BY9">
        <v>924</v>
      </c>
      <c r="BZ9">
        <v>936</v>
      </c>
      <c r="CA9">
        <v>948</v>
      </c>
      <c r="CB9">
        <v>960</v>
      </c>
      <c r="CC9">
        <v>972</v>
      </c>
      <c r="CD9">
        <v>984</v>
      </c>
      <c r="CE9">
        <v>996</v>
      </c>
      <c r="CF9">
        <v>1008</v>
      </c>
      <c r="CG9">
        <v>1020</v>
      </c>
      <c r="CH9">
        <v>1032</v>
      </c>
      <c r="CI9">
        <v>1044</v>
      </c>
      <c r="CJ9">
        <v>1056</v>
      </c>
      <c r="CK9">
        <v>1068</v>
      </c>
      <c r="CL9">
        <v>1080</v>
      </c>
      <c r="CM9">
        <v>1092</v>
      </c>
      <c r="CN9">
        <v>1104</v>
      </c>
      <c r="CO9">
        <v>1116</v>
      </c>
      <c r="CP9">
        <v>1128</v>
      </c>
      <c r="CQ9">
        <v>1140</v>
      </c>
      <c r="CR9">
        <v>1152</v>
      </c>
      <c r="CS9">
        <v>1164</v>
      </c>
      <c r="CT9">
        <v>1176</v>
      </c>
      <c r="CU9">
        <v>1188</v>
      </c>
      <c r="CV9" t="s">
        <v>98</v>
      </c>
    </row>
    <row r="10" spans="1:100" x14ac:dyDescent="0.25">
      <c r="A10" t="s">
        <v>12</v>
      </c>
    </row>
    <row r="11" spans="1:100" x14ac:dyDescent="0.25">
      <c r="A11" t="s">
        <v>13</v>
      </c>
    </row>
    <row r="12" spans="1:100" x14ac:dyDescent="0.25">
      <c r="A12" t="s">
        <v>14</v>
      </c>
    </row>
    <row r="13" spans="1:100" x14ac:dyDescent="0.25">
      <c r="A13" t="s">
        <v>15</v>
      </c>
    </row>
    <row r="14" spans="1:100" x14ac:dyDescent="0.25">
      <c r="A14" t="s">
        <v>30</v>
      </c>
    </row>
    <row r="15" spans="1:100" x14ac:dyDescent="0.25">
      <c r="A15" t="s">
        <v>17</v>
      </c>
    </row>
    <row r="16" spans="1:100" x14ac:dyDescent="0.25">
      <c r="A16" t="s">
        <v>18</v>
      </c>
    </row>
    <row r="17" spans="1:100" x14ac:dyDescent="0.25">
      <c r="A17" t="s">
        <v>19</v>
      </c>
    </row>
    <row r="18" spans="1:100" x14ac:dyDescent="0.25">
      <c r="A18" t="s">
        <v>20</v>
      </c>
    </row>
    <row r="19" spans="1:100" x14ac:dyDescent="0.25">
      <c r="A19" t="s">
        <v>21</v>
      </c>
    </row>
    <row r="20" spans="1:100" x14ac:dyDescent="0.25">
      <c r="A20" t="s">
        <v>22</v>
      </c>
    </row>
    <row r="21" spans="1:100" x14ac:dyDescent="0.25">
      <c r="A21" t="s">
        <v>23</v>
      </c>
    </row>
    <row r="22" spans="1:100" x14ac:dyDescent="0.25">
      <c r="A22" t="s">
        <v>24</v>
      </c>
    </row>
    <row r="23" spans="1:100" x14ac:dyDescent="0.25">
      <c r="A23" t="s">
        <v>25</v>
      </c>
      <c r="B23">
        <v>8</v>
      </c>
      <c r="C23">
        <v>12</v>
      </c>
      <c r="D23">
        <v>16</v>
      </c>
      <c r="E23">
        <v>20</v>
      </c>
      <c r="F23">
        <v>24</v>
      </c>
      <c r="G23">
        <v>28</v>
      </c>
      <c r="H23">
        <v>32</v>
      </c>
      <c r="I23">
        <v>36</v>
      </c>
      <c r="J23">
        <v>40</v>
      </c>
      <c r="K23">
        <v>44</v>
      </c>
      <c r="L23">
        <v>48</v>
      </c>
      <c r="M23">
        <v>52</v>
      </c>
      <c r="N23">
        <v>56</v>
      </c>
      <c r="O23">
        <v>60</v>
      </c>
      <c r="P23">
        <v>64</v>
      </c>
      <c r="Q23">
        <v>68</v>
      </c>
      <c r="R23">
        <v>72</v>
      </c>
      <c r="S23">
        <v>76</v>
      </c>
      <c r="T23">
        <v>80</v>
      </c>
      <c r="U23">
        <v>84</v>
      </c>
      <c r="V23">
        <v>88</v>
      </c>
      <c r="W23">
        <v>92</v>
      </c>
      <c r="X23">
        <v>96</v>
      </c>
      <c r="Y23">
        <v>100</v>
      </c>
      <c r="Z23">
        <v>104</v>
      </c>
      <c r="AA23">
        <v>108</v>
      </c>
      <c r="AB23">
        <v>112</v>
      </c>
      <c r="AC23">
        <v>116</v>
      </c>
      <c r="AD23">
        <v>120</v>
      </c>
      <c r="AE23">
        <v>124</v>
      </c>
      <c r="AF23">
        <v>128</v>
      </c>
      <c r="AG23">
        <v>132</v>
      </c>
      <c r="AH23">
        <v>136</v>
      </c>
      <c r="AI23">
        <v>140</v>
      </c>
      <c r="AJ23">
        <v>144</v>
      </c>
      <c r="AK23">
        <v>148</v>
      </c>
      <c r="AL23">
        <v>152</v>
      </c>
      <c r="AM23">
        <v>156</v>
      </c>
      <c r="AN23">
        <v>160</v>
      </c>
      <c r="AO23">
        <v>164</v>
      </c>
      <c r="AP23">
        <v>168</v>
      </c>
      <c r="AQ23">
        <v>172</v>
      </c>
      <c r="AR23">
        <v>176</v>
      </c>
      <c r="AS23">
        <v>180</v>
      </c>
      <c r="AT23">
        <v>184</v>
      </c>
      <c r="AU23">
        <v>188</v>
      </c>
      <c r="AV23">
        <v>192</v>
      </c>
      <c r="AW23">
        <v>196</v>
      </c>
      <c r="AX23">
        <v>200</v>
      </c>
      <c r="AY23">
        <v>204</v>
      </c>
      <c r="AZ23">
        <v>208</v>
      </c>
      <c r="BA23">
        <v>212</v>
      </c>
      <c r="BB23">
        <v>216</v>
      </c>
      <c r="BC23">
        <v>220</v>
      </c>
      <c r="BD23">
        <v>224</v>
      </c>
      <c r="BE23">
        <v>228</v>
      </c>
      <c r="BF23">
        <v>232</v>
      </c>
      <c r="BG23">
        <v>236</v>
      </c>
      <c r="BH23">
        <v>240</v>
      </c>
      <c r="BI23">
        <v>244</v>
      </c>
      <c r="BJ23">
        <v>248</v>
      </c>
      <c r="BK23">
        <v>252</v>
      </c>
      <c r="BL23">
        <v>256</v>
      </c>
      <c r="BM23">
        <v>260</v>
      </c>
      <c r="BN23">
        <v>264</v>
      </c>
      <c r="BO23">
        <v>268</v>
      </c>
      <c r="BP23">
        <v>272</v>
      </c>
      <c r="BQ23">
        <v>276</v>
      </c>
      <c r="BR23">
        <v>280</v>
      </c>
      <c r="BS23">
        <v>284</v>
      </c>
      <c r="BT23">
        <v>288</v>
      </c>
      <c r="BU23">
        <v>292</v>
      </c>
      <c r="BV23">
        <v>296</v>
      </c>
      <c r="BW23">
        <v>300</v>
      </c>
      <c r="BX23">
        <v>304</v>
      </c>
      <c r="BY23">
        <v>308</v>
      </c>
      <c r="BZ23">
        <v>312</v>
      </c>
      <c r="CA23">
        <v>316</v>
      </c>
      <c r="CB23">
        <v>320</v>
      </c>
      <c r="CC23">
        <v>324</v>
      </c>
      <c r="CD23">
        <v>328</v>
      </c>
      <c r="CE23">
        <v>332</v>
      </c>
      <c r="CF23">
        <v>336</v>
      </c>
      <c r="CG23">
        <v>340</v>
      </c>
      <c r="CH23">
        <v>344</v>
      </c>
      <c r="CI23">
        <v>348</v>
      </c>
      <c r="CJ23">
        <v>352</v>
      </c>
      <c r="CK23">
        <v>356</v>
      </c>
      <c r="CL23">
        <v>360</v>
      </c>
      <c r="CM23">
        <v>364</v>
      </c>
      <c r="CN23">
        <v>368</v>
      </c>
      <c r="CO23">
        <v>372</v>
      </c>
      <c r="CP23">
        <v>376</v>
      </c>
      <c r="CQ23">
        <v>380</v>
      </c>
      <c r="CR23">
        <v>384</v>
      </c>
      <c r="CS23">
        <v>388</v>
      </c>
      <c r="CT23">
        <v>392</v>
      </c>
      <c r="CU23">
        <v>396</v>
      </c>
      <c r="CV23" t="s">
        <v>4</v>
      </c>
    </row>
    <row r="24" spans="1:100" x14ac:dyDescent="0.25">
      <c r="A24" t="s">
        <v>26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1</v>
      </c>
      <c r="AZ24">
        <v>2</v>
      </c>
      <c r="BA24">
        <v>3</v>
      </c>
      <c r="BB24">
        <v>4</v>
      </c>
      <c r="BC24">
        <v>5</v>
      </c>
      <c r="BD24">
        <v>6</v>
      </c>
      <c r="BE24">
        <v>7</v>
      </c>
      <c r="BF24">
        <v>8</v>
      </c>
      <c r="BG24">
        <v>9</v>
      </c>
      <c r="BH24">
        <v>10</v>
      </c>
      <c r="BI24">
        <v>11</v>
      </c>
      <c r="BJ24">
        <v>12</v>
      </c>
      <c r="BK24">
        <v>13</v>
      </c>
      <c r="BL24">
        <v>14</v>
      </c>
      <c r="BM24">
        <v>15</v>
      </c>
      <c r="BN24">
        <v>16</v>
      </c>
      <c r="BO24">
        <v>17</v>
      </c>
      <c r="BP24">
        <v>18</v>
      </c>
      <c r="BQ24">
        <v>18</v>
      </c>
      <c r="BR24">
        <v>19</v>
      </c>
      <c r="BS24">
        <v>19</v>
      </c>
      <c r="BT24">
        <v>20</v>
      </c>
      <c r="BU24">
        <f>BT24+0.5</f>
        <v>20.5</v>
      </c>
      <c r="BV24">
        <f t="shared" ref="BV24:CU24" si="2">BU24+0.5</f>
        <v>21</v>
      </c>
      <c r="BW24">
        <f t="shared" si="2"/>
        <v>21.5</v>
      </c>
      <c r="BX24">
        <f t="shared" si="2"/>
        <v>22</v>
      </c>
      <c r="BY24">
        <f t="shared" si="2"/>
        <v>22.5</v>
      </c>
      <c r="BZ24">
        <f t="shared" si="2"/>
        <v>23</v>
      </c>
      <c r="CA24">
        <f t="shared" si="2"/>
        <v>23.5</v>
      </c>
      <c r="CB24">
        <f t="shared" si="2"/>
        <v>24</v>
      </c>
      <c r="CC24">
        <f t="shared" si="2"/>
        <v>24.5</v>
      </c>
      <c r="CD24">
        <f t="shared" si="2"/>
        <v>25</v>
      </c>
      <c r="CE24">
        <f t="shared" si="2"/>
        <v>25.5</v>
      </c>
      <c r="CF24">
        <f t="shared" si="2"/>
        <v>26</v>
      </c>
      <c r="CG24">
        <f t="shared" si="2"/>
        <v>26.5</v>
      </c>
      <c r="CH24">
        <f t="shared" si="2"/>
        <v>27</v>
      </c>
      <c r="CI24">
        <f t="shared" si="2"/>
        <v>27.5</v>
      </c>
      <c r="CJ24">
        <f t="shared" si="2"/>
        <v>28</v>
      </c>
      <c r="CK24">
        <f t="shared" si="2"/>
        <v>28.5</v>
      </c>
      <c r="CL24">
        <f t="shared" si="2"/>
        <v>29</v>
      </c>
      <c r="CM24">
        <f t="shared" si="2"/>
        <v>29.5</v>
      </c>
      <c r="CN24">
        <f t="shared" si="2"/>
        <v>30</v>
      </c>
      <c r="CO24">
        <f t="shared" si="2"/>
        <v>30.5</v>
      </c>
      <c r="CP24">
        <f t="shared" si="2"/>
        <v>31</v>
      </c>
      <c r="CQ24">
        <f t="shared" si="2"/>
        <v>31.5</v>
      </c>
      <c r="CR24">
        <f t="shared" si="2"/>
        <v>32</v>
      </c>
      <c r="CS24">
        <f t="shared" si="2"/>
        <v>32.5</v>
      </c>
      <c r="CT24">
        <f t="shared" si="2"/>
        <v>33</v>
      </c>
      <c r="CU24">
        <f t="shared" si="2"/>
        <v>33.5</v>
      </c>
      <c r="CV24" t="s">
        <v>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24"/>
  <sheetViews>
    <sheetView workbookViewId="0">
      <selection activeCell="CV24" sqref="A1:CV24"/>
    </sheetView>
  </sheetViews>
  <sheetFormatPr defaultRowHeight="15" x14ac:dyDescent="0.25"/>
  <sheetData>
    <row r="1" spans="1:100" x14ac:dyDescent="0.25">
      <c r="A1" t="s">
        <v>0</v>
      </c>
      <c r="B1">
        <v>4</v>
      </c>
      <c r="C1">
        <v>6</v>
      </c>
      <c r="D1">
        <v>8</v>
      </c>
      <c r="E1">
        <v>10</v>
      </c>
      <c r="F1">
        <v>12</v>
      </c>
      <c r="G1">
        <v>14</v>
      </c>
      <c r="H1">
        <v>16</v>
      </c>
      <c r="I1">
        <v>18</v>
      </c>
      <c r="J1">
        <v>20</v>
      </c>
      <c r="K1">
        <v>22</v>
      </c>
      <c r="L1">
        <v>24</v>
      </c>
      <c r="M1">
        <v>26</v>
      </c>
      <c r="N1">
        <v>28</v>
      </c>
      <c r="O1">
        <v>30</v>
      </c>
      <c r="P1">
        <v>32</v>
      </c>
      <c r="Q1">
        <v>34</v>
      </c>
      <c r="R1">
        <v>36</v>
      </c>
      <c r="S1">
        <v>38</v>
      </c>
      <c r="T1">
        <v>40</v>
      </c>
      <c r="U1">
        <v>42</v>
      </c>
      <c r="V1">
        <v>44</v>
      </c>
      <c r="W1">
        <v>46</v>
      </c>
      <c r="X1">
        <v>48</v>
      </c>
      <c r="Y1">
        <v>50</v>
      </c>
      <c r="Z1">
        <v>52</v>
      </c>
      <c r="AA1">
        <v>54</v>
      </c>
      <c r="AB1">
        <v>56</v>
      </c>
      <c r="AC1">
        <v>58</v>
      </c>
      <c r="AD1">
        <v>60</v>
      </c>
      <c r="AE1">
        <v>62</v>
      </c>
      <c r="AF1">
        <v>64</v>
      </c>
      <c r="AG1">
        <v>66</v>
      </c>
      <c r="AH1">
        <v>68</v>
      </c>
      <c r="AI1">
        <v>70</v>
      </c>
      <c r="AJ1">
        <v>72</v>
      </c>
      <c r="AK1">
        <v>74</v>
      </c>
      <c r="AL1">
        <v>76</v>
      </c>
      <c r="AM1">
        <v>78</v>
      </c>
      <c r="AN1">
        <v>80</v>
      </c>
      <c r="AO1">
        <v>82</v>
      </c>
      <c r="AP1">
        <v>84</v>
      </c>
      <c r="AQ1">
        <v>86</v>
      </c>
      <c r="AR1">
        <v>88</v>
      </c>
      <c r="AS1">
        <v>90</v>
      </c>
      <c r="AT1">
        <v>92</v>
      </c>
      <c r="AU1">
        <v>94</v>
      </c>
      <c r="AV1">
        <v>96</v>
      </c>
      <c r="AW1">
        <v>98</v>
      </c>
      <c r="AX1">
        <v>100</v>
      </c>
      <c r="AY1">
        <v>102</v>
      </c>
      <c r="AZ1">
        <v>104</v>
      </c>
      <c r="BA1">
        <v>106</v>
      </c>
      <c r="BB1">
        <v>108</v>
      </c>
      <c r="BC1">
        <v>110</v>
      </c>
      <c r="BD1">
        <v>112</v>
      </c>
      <c r="BE1">
        <v>114</v>
      </c>
      <c r="BF1">
        <v>116</v>
      </c>
      <c r="BG1">
        <v>118</v>
      </c>
      <c r="BH1">
        <v>120</v>
      </c>
      <c r="BI1">
        <v>122</v>
      </c>
      <c r="BJ1">
        <v>124</v>
      </c>
      <c r="BK1">
        <v>126</v>
      </c>
      <c r="BL1">
        <v>128</v>
      </c>
      <c r="BM1">
        <v>130</v>
      </c>
      <c r="BN1">
        <v>132</v>
      </c>
      <c r="BO1">
        <v>134</v>
      </c>
      <c r="BP1">
        <v>136</v>
      </c>
      <c r="BQ1">
        <v>138</v>
      </c>
      <c r="BR1">
        <v>140</v>
      </c>
      <c r="BS1">
        <v>142</v>
      </c>
      <c r="BT1">
        <v>144</v>
      </c>
      <c r="BU1">
        <v>146</v>
      </c>
      <c r="BV1">
        <v>148</v>
      </c>
      <c r="BW1">
        <v>150</v>
      </c>
      <c r="BX1">
        <v>152</v>
      </c>
      <c r="BY1">
        <v>154</v>
      </c>
      <c r="BZ1">
        <v>156</v>
      </c>
      <c r="CA1">
        <v>158</v>
      </c>
      <c r="CB1">
        <v>160</v>
      </c>
      <c r="CC1">
        <v>162</v>
      </c>
      <c r="CD1">
        <v>164</v>
      </c>
      <c r="CE1">
        <v>166</v>
      </c>
      <c r="CF1">
        <v>168</v>
      </c>
      <c r="CG1">
        <v>170</v>
      </c>
      <c r="CH1">
        <v>172</v>
      </c>
      <c r="CI1">
        <v>174</v>
      </c>
      <c r="CJ1">
        <v>176</v>
      </c>
      <c r="CK1">
        <v>178</v>
      </c>
      <c r="CL1">
        <v>180</v>
      </c>
      <c r="CM1">
        <v>182</v>
      </c>
      <c r="CN1">
        <v>184</v>
      </c>
      <c r="CO1">
        <v>186</v>
      </c>
      <c r="CP1">
        <v>188</v>
      </c>
      <c r="CQ1">
        <v>190</v>
      </c>
      <c r="CR1">
        <v>192</v>
      </c>
      <c r="CS1">
        <v>194</v>
      </c>
      <c r="CT1">
        <v>196</v>
      </c>
      <c r="CU1">
        <v>198</v>
      </c>
      <c r="CV1" t="s">
        <v>1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0.25</v>
      </c>
      <c r="AZ2">
        <v>0.5</v>
      </c>
      <c r="BA2">
        <v>0.75</v>
      </c>
      <c r="BB2">
        <v>1</v>
      </c>
      <c r="BC2">
        <v>1.25</v>
      </c>
      <c r="BD2">
        <v>1.5</v>
      </c>
      <c r="BE2">
        <v>1.75</v>
      </c>
      <c r="BF2">
        <v>2</v>
      </c>
      <c r="BG2">
        <v>2.25</v>
      </c>
      <c r="BH2">
        <v>2.5</v>
      </c>
      <c r="BI2">
        <v>2.75</v>
      </c>
      <c r="BJ2">
        <v>3</v>
      </c>
      <c r="BK2">
        <v>3.25</v>
      </c>
      <c r="BL2">
        <v>3.5</v>
      </c>
      <c r="BM2">
        <v>3.75</v>
      </c>
      <c r="BN2">
        <v>4</v>
      </c>
      <c r="BO2">
        <v>4.25</v>
      </c>
      <c r="BP2">
        <v>4.5</v>
      </c>
      <c r="BQ2">
        <v>4.5</v>
      </c>
      <c r="BR2">
        <v>4.75</v>
      </c>
      <c r="BS2">
        <v>4.75</v>
      </c>
      <c r="BT2">
        <v>5</v>
      </c>
      <c r="BU2">
        <f>BS2+0.15</f>
        <v>4.9000000000000004</v>
      </c>
      <c r="BV2">
        <f t="shared" ref="BV2:CU2" si="0">BT2+0.15</f>
        <v>5.15</v>
      </c>
      <c r="BW2">
        <f t="shared" si="0"/>
        <v>5.0500000000000007</v>
      </c>
      <c r="BX2">
        <f t="shared" si="0"/>
        <v>5.3000000000000007</v>
      </c>
      <c r="BY2">
        <f t="shared" si="0"/>
        <v>5.2000000000000011</v>
      </c>
      <c r="BZ2">
        <f t="shared" si="0"/>
        <v>5.4500000000000011</v>
      </c>
      <c r="CA2">
        <f t="shared" si="0"/>
        <v>5.3500000000000014</v>
      </c>
      <c r="CB2">
        <f t="shared" si="0"/>
        <v>5.6000000000000014</v>
      </c>
      <c r="CC2">
        <f t="shared" si="0"/>
        <v>5.5000000000000018</v>
      </c>
      <c r="CD2">
        <f t="shared" si="0"/>
        <v>5.7500000000000018</v>
      </c>
      <c r="CE2">
        <f t="shared" si="0"/>
        <v>5.6500000000000021</v>
      </c>
      <c r="CF2">
        <f t="shared" si="0"/>
        <v>5.9000000000000021</v>
      </c>
      <c r="CG2">
        <f t="shared" si="0"/>
        <v>5.8000000000000025</v>
      </c>
      <c r="CH2">
        <f t="shared" si="0"/>
        <v>6.0500000000000025</v>
      </c>
      <c r="CI2">
        <f t="shared" si="0"/>
        <v>5.9500000000000028</v>
      </c>
      <c r="CJ2">
        <f t="shared" si="0"/>
        <v>6.2000000000000028</v>
      </c>
      <c r="CK2">
        <f t="shared" si="0"/>
        <v>6.1000000000000032</v>
      </c>
      <c r="CL2">
        <f t="shared" si="0"/>
        <v>6.3500000000000032</v>
      </c>
      <c r="CM2">
        <f t="shared" si="0"/>
        <v>6.2500000000000036</v>
      </c>
      <c r="CN2">
        <f t="shared" si="0"/>
        <v>6.5000000000000036</v>
      </c>
      <c r="CO2">
        <f t="shared" si="0"/>
        <v>6.4000000000000039</v>
      </c>
      <c r="CP2">
        <f t="shared" si="0"/>
        <v>6.6500000000000039</v>
      </c>
      <c r="CQ2">
        <f t="shared" si="0"/>
        <v>6.5500000000000043</v>
      </c>
      <c r="CR2">
        <f t="shared" si="0"/>
        <v>6.8000000000000043</v>
      </c>
      <c r="CS2">
        <f t="shared" si="0"/>
        <v>6.7000000000000046</v>
      </c>
      <c r="CT2">
        <f t="shared" si="0"/>
        <v>6.9500000000000046</v>
      </c>
      <c r="CU2">
        <f t="shared" si="0"/>
        <v>6.850000000000005</v>
      </c>
      <c r="CV2" t="str">
        <f>CT2+0.15&amp;","</f>
        <v>7.1,</v>
      </c>
    </row>
    <row r="3" spans="1:100" x14ac:dyDescent="0.25">
      <c r="A3" t="s">
        <v>3</v>
      </c>
      <c r="B3">
        <v>8</v>
      </c>
      <c r="C3">
        <v>12</v>
      </c>
      <c r="D3">
        <v>16</v>
      </c>
      <c r="E3">
        <v>20</v>
      </c>
      <c r="F3">
        <v>24</v>
      </c>
      <c r="G3">
        <v>28</v>
      </c>
      <c r="H3">
        <v>32</v>
      </c>
      <c r="I3">
        <v>36</v>
      </c>
      <c r="J3">
        <v>40</v>
      </c>
      <c r="K3">
        <v>44</v>
      </c>
      <c r="L3">
        <v>48</v>
      </c>
      <c r="M3">
        <v>52</v>
      </c>
      <c r="N3">
        <v>56</v>
      </c>
      <c r="O3">
        <v>60</v>
      </c>
      <c r="P3">
        <v>64</v>
      </c>
      <c r="Q3">
        <v>68</v>
      </c>
      <c r="R3">
        <v>72</v>
      </c>
      <c r="S3">
        <v>76</v>
      </c>
      <c r="T3">
        <v>80</v>
      </c>
      <c r="U3">
        <v>84</v>
      </c>
      <c r="V3">
        <v>88</v>
      </c>
      <c r="W3">
        <v>92</v>
      </c>
      <c r="X3">
        <v>96</v>
      </c>
      <c r="Y3">
        <v>100</v>
      </c>
      <c r="Z3">
        <v>104</v>
      </c>
      <c r="AA3">
        <v>108</v>
      </c>
      <c r="AB3">
        <v>112</v>
      </c>
      <c r="AC3">
        <v>116</v>
      </c>
      <c r="AD3">
        <v>120</v>
      </c>
      <c r="AE3">
        <v>124</v>
      </c>
      <c r="AF3">
        <v>128</v>
      </c>
      <c r="AG3">
        <v>132</v>
      </c>
      <c r="AH3">
        <v>136</v>
      </c>
      <c r="AI3">
        <v>140</v>
      </c>
      <c r="AJ3">
        <v>144</v>
      </c>
      <c r="AK3">
        <v>148</v>
      </c>
      <c r="AL3">
        <v>152</v>
      </c>
      <c r="AM3">
        <v>156</v>
      </c>
      <c r="AN3">
        <v>160</v>
      </c>
      <c r="AO3">
        <v>164</v>
      </c>
      <c r="AP3">
        <v>168</v>
      </c>
      <c r="AQ3">
        <v>172</v>
      </c>
      <c r="AR3">
        <v>176</v>
      </c>
      <c r="AS3">
        <v>180</v>
      </c>
      <c r="AT3">
        <v>184</v>
      </c>
      <c r="AU3">
        <v>188</v>
      </c>
      <c r="AV3">
        <v>192</v>
      </c>
      <c r="AW3">
        <v>196</v>
      </c>
      <c r="AX3">
        <v>200</v>
      </c>
      <c r="AY3">
        <v>204</v>
      </c>
      <c r="AZ3">
        <v>208</v>
      </c>
      <c r="BA3">
        <v>212</v>
      </c>
      <c r="BB3">
        <v>216</v>
      </c>
      <c r="BC3">
        <v>220</v>
      </c>
      <c r="BD3">
        <v>224</v>
      </c>
      <c r="BE3">
        <v>228</v>
      </c>
      <c r="BF3">
        <v>232</v>
      </c>
      <c r="BG3">
        <v>236</v>
      </c>
      <c r="BH3">
        <v>240</v>
      </c>
      <c r="BI3">
        <v>244</v>
      </c>
      <c r="BJ3">
        <v>248</v>
      </c>
      <c r="BK3">
        <v>252</v>
      </c>
      <c r="BL3">
        <v>256</v>
      </c>
      <c r="BM3">
        <v>260</v>
      </c>
      <c r="BN3">
        <v>264</v>
      </c>
      <c r="BO3">
        <v>268</v>
      </c>
      <c r="BP3">
        <v>272</v>
      </c>
      <c r="BQ3">
        <v>276</v>
      </c>
      <c r="BR3">
        <v>280</v>
      </c>
      <c r="BS3">
        <v>284</v>
      </c>
      <c r="BT3">
        <v>288</v>
      </c>
      <c r="BU3">
        <v>292</v>
      </c>
      <c r="BV3">
        <v>296</v>
      </c>
      <c r="BW3">
        <v>300</v>
      </c>
      <c r="BX3">
        <v>304</v>
      </c>
      <c r="BY3">
        <v>308</v>
      </c>
      <c r="BZ3">
        <v>312</v>
      </c>
      <c r="CA3">
        <v>316</v>
      </c>
      <c r="CB3">
        <v>320</v>
      </c>
      <c r="CC3">
        <v>324</v>
      </c>
      <c r="CD3">
        <v>328</v>
      </c>
      <c r="CE3">
        <v>332</v>
      </c>
      <c r="CF3">
        <v>336</v>
      </c>
      <c r="CG3">
        <v>340</v>
      </c>
      <c r="CH3">
        <v>344</v>
      </c>
      <c r="CI3">
        <v>348</v>
      </c>
      <c r="CJ3">
        <v>352</v>
      </c>
      <c r="CK3">
        <v>356</v>
      </c>
      <c r="CL3">
        <v>360</v>
      </c>
      <c r="CM3">
        <v>364</v>
      </c>
      <c r="CN3">
        <v>368</v>
      </c>
      <c r="CO3">
        <v>372</v>
      </c>
      <c r="CP3">
        <v>376</v>
      </c>
      <c r="CQ3">
        <v>380</v>
      </c>
      <c r="CR3">
        <v>384</v>
      </c>
      <c r="CS3">
        <v>388</v>
      </c>
      <c r="CT3">
        <v>392</v>
      </c>
      <c r="CU3">
        <v>396</v>
      </c>
      <c r="CV3" t="s">
        <v>4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0.25</v>
      </c>
      <c r="AZ4">
        <v>0.5</v>
      </c>
      <c r="BA4">
        <v>0.75</v>
      </c>
      <c r="BB4">
        <v>1</v>
      </c>
      <c r="BC4">
        <v>1.25</v>
      </c>
      <c r="BD4">
        <v>1.5</v>
      </c>
      <c r="BE4">
        <v>1.75</v>
      </c>
      <c r="BF4">
        <v>2</v>
      </c>
      <c r="BG4">
        <v>2.25</v>
      </c>
      <c r="BH4">
        <v>2.5</v>
      </c>
      <c r="BI4">
        <v>2.75</v>
      </c>
      <c r="BJ4">
        <v>3</v>
      </c>
      <c r="BK4">
        <v>3.25</v>
      </c>
      <c r="BL4">
        <v>3.5</v>
      </c>
      <c r="BM4">
        <v>3.75</v>
      </c>
      <c r="BN4">
        <v>4</v>
      </c>
      <c r="BO4">
        <v>4.25</v>
      </c>
      <c r="BP4">
        <v>4.5</v>
      </c>
      <c r="BQ4">
        <v>4.5</v>
      </c>
      <c r="BR4">
        <v>4.75</v>
      </c>
      <c r="BS4">
        <v>4.75</v>
      </c>
      <c r="BT4">
        <v>5</v>
      </c>
      <c r="BU4">
        <f>BS4+0.15</f>
        <v>4.9000000000000004</v>
      </c>
      <c r="BV4">
        <f t="shared" ref="BV4" si="1">BT4+0.15</f>
        <v>5.15</v>
      </c>
      <c r="BW4">
        <f t="shared" ref="BW4" si="2">BU4+0.15</f>
        <v>5.0500000000000007</v>
      </c>
      <c r="BX4">
        <f t="shared" ref="BX4" si="3">BV4+0.15</f>
        <v>5.3000000000000007</v>
      </c>
      <c r="BY4">
        <f t="shared" ref="BY4" si="4">BW4+0.15</f>
        <v>5.2000000000000011</v>
      </c>
      <c r="BZ4">
        <f t="shared" ref="BZ4" si="5">BX4+0.15</f>
        <v>5.4500000000000011</v>
      </c>
      <c r="CA4">
        <f t="shared" ref="CA4" si="6">BY4+0.15</f>
        <v>5.3500000000000014</v>
      </c>
      <c r="CB4">
        <f t="shared" ref="CB4" si="7">BZ4+0.15</f>
        <v>5.6000000000000014</v>
      </c>
      <c r="CC4">
        <f t="shared" ref="CC4" si="8">CA4+0.15</f>
        <v>5.5000000000000018</v>
      </c>
      <c r="CD4">
        <f t="shared" ref="CD4" si="9">CB4+0.15</f>
        <v>5.7500000000000018</v>
      </c>
      <c r="CE4">
        <f t="shared" ref="CE4" si="10">CC4+0.15</f>
        <v>5.6500000000000021</v>
      </c>
      <c r="CF4">
        <f t="shared" ref="CF4" si="11">CD4+0.15</f>
        <v>5.9000000000000021</v>
      </c>
      <c r="CG4">
        <f t="shared" ref="CG4" si="12">CE4+0.15</f>
        <v>5.8000000000000025</v>
      </c>
      <c r="CH4">
        <f t="shared" ref="CH4" si="13">CF4+0.15</f>
        <v>6.0500000000000025</v>
      </c>
      <c r="CI4">
        <f t="shared" ref="CI4" si="14">CG4+0.15</f>
        <v>5.9500000000000028</v>
      </c>
      <c r="CJ4">
        <f t="shared" ref="CJ4" si="15">CH4+0.15</f>
        <v>6.2000000000000028</v>
      </c>
      <c r="CK4">
        <f t="shared" ref="CK4" si="16">CI4+0.15</f>
        <v>6.1000000000000032</v>
      </c>
      <c r="CL4">
        <f t="shared" ref="CL4" si="17">CJ4+0.15</f>
        <v>6.3500000000000032</v>
      </c>
      <c r="CM4">
        <f t="shared" ref="CM4" si="18">CK4+0.15</f>
        <v>6.2500000000000036</v>
      </c>
      <c r="CN4">
        <f t="shared" ref="CN4" si="19">CL4+0.15</f>
        <v>6.5000000000000036</v>
      </c>
      <c r="CO4">
        <f t="shared" ref="CO4" si="20">CM4+0.15</f>
        <v>6.4000000000000039</v>
      </c>
      <c r="CP4">
        <f t="shared" ref="CP4" si="21">CN4+0.15</f>
        <v>6.6500000000000039</v>
      </c>
      <c r="CQ4">
        <f t="shared" ref="CQ4" si="22">CO4+0.15</f>
        <v>6.5500000000000043</v>
      </c>
      <c r="CR4">
        <f t="shared" ref="CR4" si="23">CP4+0.15</f>
        <v>6.8000000000000043</v>
      </c>
      <c r="CS4">
        <f t="shared" ref="CS4" si="24">CQ4+0.15</f>
        <v>6.7000000000000046</v>
      </c>
      <c r="CT4">
        <f t="shared" ref="CT4" si="25">CR4+0.15</f>
        <v>6.9500000000000046</v>
      </c>
      <c r="CU4">
        <f t="shared" ref="CU4" si="26">CS4+0.15</f>
        <v>6.850000000000005</v>
      </c>
      <c r="CV4" t="str">
        <f>CT4+0.15&amp;","</f>
        <v>7.1,</v>
      </c>
    </row>
    <row r="5" spans="1:100" x14ac:dyDescent="0.25">
      <c r="A5" t="s">
        <v>6</v>
      </c>
      <c r="B5">
        <v>38</v>
      </c>
      <c r="C5">
        <v>57</v>
      </c>
      <c r="D5">
        <v>76</v>
      </c>
      <c r="E5">
        <v>95</v>
      </c>
      <c r="F5">
        <v>114</v>
      </c>
      <c r="G5">
        <v>133</v>
      </c>
      <c r="H5">
        <v>152</v>
      </c>
      <c r="I5">
        <v>171</v>
      </c>
      <c r="J5">
        <v>190</v>
      </c>
      <c r="K5">
        <v>209</v>
      </c>
      <c r="L5">
        <v>228</v>
      </c>
      <c r="M5">
        <v>247</v>
      </c>
      <c r="N5">
        <v>266</v>
      </c>
      <c r="O5">
        <v>285</v>
      </c>
      <c r="P5">
        <v>304</v>
      </c>
      <c r="Q5">
        <v>323</v>
      </c>
      <c r="R5">
        <v>342</v>
      </c>
      <c r="S5">
        <v>361</v>
      </c>
      <c r="T5">
        <v>380</v>
      </c>
      <c r="U5">
        <v>399</v>
      </c>
      <c r="V5">
        <v>418</v>
      </c>
      <c r="W5">
        <v>437</v>
      </c>
      <c r="X5">
        <v>456</v>
      </c>
      <c r="Y5">
        <v>475</v>
      </c>
      <c r="Z5">
        <v>494</v>
      </c>
      <c r="AA5">
        <v>513</v>
      </c>
      <c r="AB5">
        <v>532</v>
      </c>
      <c r="AC5">
        <v>551</v>
      </c>
      <c r="AD5">
        <v>570</v>
      </c>
      <c r="AE5">
        <v>589</v>
      </c>
      <c r="AF5">
        <v>608</v>
      </c>
      <c r="AG5">
        <v>627</v>
      </c>
      <c r="AH5">
        <v>646</v>
      </c>
      <c r="AI5">
        <v>665</v>
      </c>
      <c r="AJ5">
        <v>684</v>
      </c>
      <c r="AK5">
        <v>703</v>
      </c>
      <c r="AL5">
        <v>722</v>
      </c>
      <c r="AM5">
        <v>741</v>
      </c>
      <c r="AN5">
        <v>760</v>
      </c>
      <c r="AO5">
        <v>779</v>
      </c>
      <c r="AP5">
        <v>798</v>
      </c>
      <c r="AQ5">
        <v>817</v>
      </c>
      <c r="AR5">
        <v>836</v>
      </c>
      <c r="AS5">
        <v>855</v>
      </c>
      <c r="AT5">
        <v>874</v>
      </c>
      <c r="AU5">
        <v>893</v>
      </c>
      <c r="AV5">
        <v>912</v>
      </c>
      <c r="AW5">
        <v>931</v>
      </c>
      <c r="AX5">
        <v>950</v>
      </c>
      <c r="AY5">
        <v>969</v>
      </c>
      <c r="AZ5">
        <v>988</v>
      </c>
      <c r="BA5">
        <v>1007</v>
      </c>
      <c r="BB5">
        <v>1026</v>
      </c>
      <c r="BC5">
        <v>1045</v>
      </c>
      <c r="BD5">
        <v>1064</v>
      </c>
      <c r="BE5">
        <v>1083</v>
      </c>
      <c r="BF5">
        <v>1102</v>
      </c>
      <c r="BG5">
        <v>1121</v>
      </c>
      <c r="BH5">
        <v>1140</v>
      </c>
      <c r="BI5">
        <v>1159</v>
      </c>
      <c r="BJ5">
        <v>1178</v>
      </c>
      <c r="BK5">
        <v>1197</v>
      </c>
      <c r="BL5">
        <v>1216</v>
      </c>
      <c r="BM5">
        <v>1235</v>
      </c>
      <c r="BN5">
        <v>1254</v>
      </c>
      <c r="BO5">
        <v>1273</v>
      </c>
      <c r="BP5">
        <v>1292</v>
      </c>
      <c r="BQ5">
        <v>1311</v>
      </c>
      <c r="BR5">
        <v>1330</v>
      </c>
      <c r="BS5">
        <v>1349</v>
      </c>
      <c r="BT5">
        <v>1368</v>
      </c>
      <c r="BU5">
        <v>1387</v>
      </c>
      <c r="BV5">
        <v>1406</v>
      </c>
      <c r="BW5">
        <v>1425</v>
      </c>
      <c r="BX5">
        <v>1444</v>
      </c>
      <c r="BY5">
        <v>1463</v>
      </c>
      <c r="BZ5">
        <v>1482</v>
      </c>
      <c r="CA5">
        <v>1501</v>
      </c>
      <c r="CB5">
        <v>1520</v>
      </c>
      <c r="CC5">
        <v>1539</v>
      </c>
      <c r="CD5">
        <v>1558</v>
      </c>
      <c r="CE5">
        <v>1577</v>
      </c>
      <c r="CF5">
        <v>1596</v>
      </c>
      <c r="CG5">
        <v>1615</v>
      </c>
      <c r="CH5">
        <v>1634</v>
      </c>
      <c r="CI5">
        <v>1653</v>
      </c>
      <c r="CJ5">
        <v>1672</v>
      </c>
      <c r="CK5">
        <v>1691</v>
      </c>
      <c r="CL5">
        <v>1710</v>
      </c>
      <c r="CM5">
        <v>1729</v>
      </c>
      <c r="CN5">
        <v>1748</v>
      </c>
      <c r="CO5">
        <v>1767</v>
      </c>
      <c r="CP5">
        <v>1786</v>
      </c>
      <c r="CQ5">
        <v>1805</v>
      </c>
      <c r="CR5">
        <v>1824</v>
      </c>
      <c r="CS5">
        <v>1843</v>
      </c>
      <c r="CT5">
        <v>1862</v>
      </c>
      <c r="CU5">
        <v>1881</v>
      </c>
      <c r="CV5" t="s">
        <v>7</v>
      </c>
    </row>
    <row r="6" spans="1:100" x14ac:dyDescent="0.25">
      <c r="A6" t="s">
        <v>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0.25</v>
      </c>
      <c r="AZ6">
        <v>0.5</v>
      </c>
      <c r="BA6">
        <v>0.75</v>
      </c>
      <c r="BB6">
        <v>1</v>
      </c>
      <c r="BC6">
        <v>1.25</v>
      </c>
      <c r="BD6">
        <v>1.5</v>
      </c>
      <c r="BE6">
        <v>1.75</v>
      </c>
      <c r="BF6">
        <v>2</v>
      </c>
      <c r="BG6">
        <v>2.25</v>
      </c>
      <c r="BH6">
        <v>2.5</v>
      </c>
      <c r="BI6">
        <v>2.75</v>
      </c>
      <c r="BJ6">
        <v>3</v>
      </c>
      <c r="BK6">
        <v>3.25</v>
      </c>
      <c r="BL6">
        <v>3.5</v>
      </c>
      <c r="BM6">
        <v>3.75</v>
      </c>
      <c r="BN6">
        <v>4</v>
      </c>
      <c r="BO6">
        <v>4.25</v>
      </c>
      <c r="BP6">
        <v>4.5</v>
      </c>
      <c r="BQ6">
        <v>4.5</v>
      </c>
      <c r="BR6">
        <v>4.75</v>
      </c>
      <c r="BS6">
        <v>4.75</v>
      </c>
      <c r="BT6">
        <v>5</v>
      </c>
      <c r="BU6">
        <f>BS6+0.15</f>
        <v>4.9000000000000004</v>
      </c>
      <c r="BV6">
        <f t="shared" ref="BV6" si="27">BT6+0.15</f>
        <v>5.15</v>
      </c>
      <c r="BW6">
        <f t="shared" ref="BW6" si="28">BU6+0.15</f>
        <v>5.0500000000000007</v>
      </c>
      <c r="BX6">
        <f t="shared" ref="BX6" si="29">BV6+0.15</f>
        <v>5.3000000000000007</v>
      </c>
      <c r="BY6">
        <f t="shared" ref="BY6" si="30">BW6+0.15</f>
        <v>5.2000000000000011</v>
      </c>
      <c r="BZ6">
        <f t="shared" ref="BZ6" si="31">BX6+0.15</f>
        <v>5.4500000000000011</v>
      </c>
      <c r="CA6">
        <f t="shared" ref="CA6" si="32">BY6+0.15</f>
        <v>5.3500000000000014</v>
      </c>
      <c r="CB6">
        <f t="shared" ref="CB6" si="33">BZ6+0.15</f>
        <v>5.6000000000000014</v>
      </c>
      <c r="CC6">
        <f t="shared" ref="CC6" si="34">CA6+0.15</f>
        <v>5.5000000000000018</v>
      </c>
      <c r="CD6">
        <f t="shared" ref="CD6" si="35">CB6+0.15</f>
        <v>5.7500000000000018</v>
      </c>
      <c r="CE6">
        <f t="shared" ref="CE6" si="36">CC6+0.15</f>
        <v>5.6500000000000021</v>
      </c>
      <c r="CF6">
        <f t="shared" ref="CF6" si="37">CD6+0.15</f>
        <v>5.9000000000000021</v>
      </c>
      <c r="CG6">
        <f t="shared" ref="CG6" si="38">CE6+0.15</f>
        <v>5.8000000000000025</v>
      </c>
      <c r="CH6">
        <f t="shared" ref="CH6" si="39">CF6+0.15</f>
        <v>6.0500000000000025</v>
      </c>
      <c r="CI6">
        <f t="shared" ref="CI6" si="40">CG6+0.15</f>
        <v>5.9500000000000028</v>
      </c>
      <c r="CJ6">
        <f t="shared" ref="CJ6" si="41">CH6+0.15</f>
        <v>6.2000000000000028</v>
      </c>
      <c r="CK6">
        <f t="shared" ref="CK6" si="42">CI6+0.15</f>
        <v>6.1000000000000032</v>
      </c>
      <c r="CL6">
        <f t="shared" ref="CL6" si="43">CJ6+0.15</f>
        <v>6.3500000000000032</v>
      </c>
      <c r="CM6">
        <f t="shared" ref="CM6" si="44">CK6+0.15</f>
        <v>6.2500000000000036</v>
      </c>
      <c r="CN6">
        <f t="shared" ref="CN6" si="45">CL6+0.15</f>
        <v>6.5000000000000036</v>
      </c>
      <c r="CO6">
        <f t="shared" ref="CO6" si="46">CM6+0.15</f>
        <v>6.4000000000000039</v>
      </c>
      <c r="CP6">
        <f t="shared" ref="CP6" si="47">CN6+0.15</f>
        <v>6.6500000000000039</v>
      </c>
      <c r="CQ6">
        <f t="shared" ref="CQ6" si="48">CO6+0.15</f>
        <v>6.5500000000000043</v>
      </c>
      <c r="CR6">
        <f t="shared" ref="CR6" si="49">CP6+0.15</f>
        <v>6.8000000000000043</v>
      </c>
      <c r="CS6">
        <f t="shared" ref="CS6" si="50">CQ6+0.15</f>
        <v>6.7000000000000046</v>
      </c>
      <c r="CT6">
        <f t="shared" ref="CT6" si="51">CR6+0.15</f>
        <v>6.9500000000000046</v>
      </c>
      <c r="CU6">
        <f t="shared" ref="CU6" si="52">CS6+0.15</f>
        <v>6.850000000000005</v>
      </c>
      <c r="CV6" t="str">
        <f>CT6+0.15&amp;","</f>
        <v>7.1,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11</v>
      </c>
      <c r="B9">
        <v>38</v>
      </c>
      <c r="C9">
        <v>57</v>
      </c>
      <c r="D9">
        <v>76</v>
      </c>
      <c r="E9">
        <v>95</v>
      </c>
      <c r="F9">
        <v>114</v>
      </c>
      <c r="G9">
        <v>133</v>
      </c>
      <c r="H9">
        <v>152</v>
      </c>
      <c r="I9">
        <v>171</v>
      </c>
      <c r="J9">
        <v>190</v>
      </c>
      <c r="K9">
        <v>209</v>
      </c>
      <c r="L9">
        <v>228</v>
      </c>
      <c r="M9">
        <v>247</v>
      </c>
      <c r="N9">
        <v>266</v>
      </c>
      <c r="O9">
        <v>285</v>
      </c>
      <c r="P9">
        <v>304</v>
      </c>
      <c r="Q9">
        <v>323</v>
      </c>
      <c r="R9">
        <v>342</v>
      </c>
      <c r="S9">
        <v>361</v>
      </c>
      <c r="T9">
        <v>380</v>
      </c>
      <c r="U9">
        <v>399</v>
      </c>
      <c r="V9">
        <v>418</v>
      </c>
      <c r="W9">
        <v>437</v>
      </c>
      <c r="X9">
        <v>456</v>
      </c>
      <c r="Y9">
        <v>475</v>
      </c>
      <c r="Z9">
        <v>494</v>
      </c>
      <c r="AA9">
        <v>513</v>
      </c>
      <c r="AB9">
        <v>532</v>
      </c>
      <c r="AC9">
        <v>551</v>
      </c>
      <c r="AD9">
        <v>570</v>
      </c>
      <c r="AE9">
        <v>589</v>
      </c>
      <c r="AF9">
        <v>608</v>
      </c>
      <c r="AG9">
        <v>627</v>
      </c>
      <c r="AH9">
        <v>646</v>
      </c>
      <c r="AI9">
        <v>665</v>
      </c>
      <c r="AJ9">
        <v>684</v>
      </c>
      <c r="AK9">
        <v>703</v>
      </c>
      <c r="AL9">
        <v>722</v>
      </c>
      <c r="AM9">
        <v>741</v>
      </c>
      <c r="AN9">
        <v>760</v>
      </c>
      <c r="AO9">
        <v>779</v>
      </c>
      <c r="AP9">
        <v>798</v>
      </c>
      <c r="AQ9">
        <v>817</v>
      </c>
      <c r="AR9">
        <v>836</v>
      </c>
      <c r="AS9">
        <v>855</v>
      </c>
      <c r="AT9">
        <v>874</v>
      </c>
      <c r="AU9">
        <v>893</v>
      </c>
      <c r="AV9">
        <v>912</v>
      </c>
      <c r="AW9">
        <v>931</v>
      </c>
      <c r="AX9">
        <v>950</v>
      </c>
      <c r="AY9">
        <v>969</v>
      </c>
      <c r="AZ9">
        <v>988</v>
      </c>
      <c r="BA9">
        <v>1007</v>
      </c>
      <c r="BB9">
        <v>1026</v>
      </c>
      <c r="BC9">
        <v>1045</v>
      </c>
      <c r="BD9">
        <v>1064</v>
      </c>
      <c r="BE9">
        <v>1083</v>
      </c>
      <c r="BF9">
        <v>1102</v>
      </c>
      <c r="BG9">
        <v>1121</v>
      </c>
      <c r="BH9">
        <v>1140</v>
      </c>
      <c r="BI9">
        <v>1159</v>
      </c>
      <c r="BJ9">
        <v>1178</v>
      </c>
      <c r="BK9">
        <v>1197</v>
      </c>
      <c r="BL9">
        <v>1216</v>
      </c>
      <c r="BM9">
        <v>1235</v>
      </c>
      <c r="BN9">
        <v>1254</v>
      </c>
      <c r="BO9">
        <v>1273</v>
      </c>
      <c r="BP9">
        <v>1292</v>
      </c>
      <c r="BQ9">
        <v>1311</v>
      </c>
      <c r="BR9">
        <v>1330</v>
      </c>
      <c r="BS9">
        <v>1349</v>
      </c>
      <c r="BT9">
        <v>1368</v>
      </c>
      <c r="BU9">
        <v>1387</v>
      </c>
      <c r="BV9">
        <v>1406</v>
      </c>
      <c r="BW9">
        <v>1425</v>
      </c>
      <c r="BX9">
        <v>1444</v>
      </c>
      <c r="BY9">
        <v>1463</v>
      </c>
      <c r="BZ9">
        <v>1482</v>
      </c>
      <c r="CA9">
        <v>1501</v>
      </c>
      <c r="CB9">
        <v>1520</v>
      </c>
      <c r="CC9">
        <v>1539</v>
      </c>
      <c r="CD9">
        <v>1558</v>
      </c>
      <c r="CE9">
        <v>1577</v>
      </c>
      <c r="CF9">
        <v>1596</v>
      </c>
      <c r="CG9">
        <v>1615</v>
      </c>
      <c r="CH9">
        <v>1634</v>
      </c>
      <c r="CI9">
        <v>1653</v>
      </c>
      <c r="CJ9">
        <v>1672</v>
      </c>
      <c r="CK9">
        <v>1691</v>
      </c>
      <c r="CL9">
        <v>1710</v>
      </c>
      <c r="CM9">
        <v>1729</v>
      </c>
      <c r="CN9">
        <v>1748</v>
      </c>
      <c r="CO9">
        <v>1767</v>
      </c>
      <c r="CP9">
        <v>1786</v>
      </c>
      <c r="CQ9">
        <v>1805</v>
      </c>
      <c r="CR9">
        <v>1824</v>
      </c>
      <c r="CS9">
        <v>1843</v>
      </c>
      <c r="CT9">
        <v>1862</v>
      </c>
      <c r="CU9">
        <v>1881</v>
      </c>
      <c r="CV9" t="s">
        <v>7</v>
      </c>
    </row>
    <row r="10" spans="1:100" x14ac:dyDescent="0.25">
      <c r="A10" t="s">
        <v>12</v>
      </c>
    </row>
    <row r="11" spans="1:100" x14ac:dyDescent="0.25">
      <c r="A11" t="s">
        <v>13</v>
      </c>
    </row>
    <row r="12" spans="1:100" x14ac:dyDescent="0.25">
      <c r="A12" t="s">
        <v>14</v>
      </c>
    </row>
    <row r="13" spans="1:100" x14ac:dyDescent="0.25">
      <c r="A13" t="s">
        <v>15</v>
      </c>
    </row>
    <row r="14" spans="1:100" x14ac:dyDescent="0.25">
      <c r="A14" t="s">
        <v>16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0.25</v>
      </c>
      <c r="AZ14">
        <v>0.5</v>
      </c>
      <c r="BA14">
        <v>0.75</v>
      </c>
      <c r="BB14">
        <v>1</v>
      </c>
      <c r="BC14">
        <v>1.25</v>
      </c>
      <c r="BD14">
        <v>1.5</v>
      </c>
      <c r="BE14">
        <v>1.75</v>
      </c>
      <c r="BF14">
        <v>2</v>
      </c>
      <c r="BG14">
        <v>2.25</v>
      </c>
      <c r="BH14">
        <v>2.5</v>
      </c>
      <c r="BI14">
        <v>2.75</v>
      </c>
      <c r="BJ14">
        <v>3</v>
      </c>
      <c r="BK14">
        <v>3.25</v>
      </c>
      <c r="BL14">
        <v>3.5</v>
      </c>
      <c r="BM14">
        <v>3.75</v>
      </c>
      <c r="BN14">
        <v>4</v>
      </c>
      <c r="BO14">
        <v>4.25</v>
      </c>
      <c r="BP14">
        <v>4.5</v>
      </c>
      <c r="BQ14">
        <v>4.5</v>
      </c>
      <c r="BR14">
        <v>4.75</v>
      </c>
      <c r="BS14">
        <v>4.75</v>
      </c>
      <c r="BT14">
        <v>5</v>
      </c>
      <c r="BU14">
        <f>BS14+0.15</f>
        <v>4.9000000000000004</v>
      </c>
      <c r="BV14">
        <f t="shared" ref="BV14" si="53">BT14+0.15</f>
        <v>5.15</v>
      </c>
      <c r="BW14">
        <f t="shared" ref="BW14" si="54">BU14+0.15</f>
        <v>5.0500000000000007</v>
      </c>
      <c r="BX14">
        <f t="shared" ref="BX14" si="55">BV14+0.15</f>
        <v>5.3000000000000007</v>
      </c>
      <c r="BY14">
        <f t="shared" ref="BY14" si="56">BW14+0.15</f>
        <v>5.2000000000000011</v>
      </c>
      <c r="BZ14">
        <f t="shared" ref="BZ14" si="57">BX14+0.15</f>
        <v>5.4500000000000011</v>
      </c>
      <c r="CA14">
        <f t="shared" ref="CA14" si="58">BY14+0.15</f>
        <v>5.3500000000000014</v>
      </c>
      <c r="CB14">
        <f t="shared" ref="CB14" si="59">BZ14+0.15</f>
        <v>5.6000000000000014</v>
      </c>
      <c r="CC14">
        <f t="shared" ref="CC14" si="60">CA14+0.15</f>
        <v>5.5000000000000018</v>
      </c>
      <c r="CD14">
        <f t="shared" ref="CD14" si="61">CB14+0.15</f>
        <v>5.7500000000000018</v>
      </c>
      <c r="CE14">
        <f t="shared" ref="CE14" si="62">CC14+0.15</f>
        <v>5.6500000000000021</v>
      </c>
      <c r="CF14">
        <f t="shared" ref="CF14" si="63">CD14+0.15</f>
        <v>5.9000000000000021</v>
      </c>
      <c r="CG14">
        <f t="shared" ref="CG14" si="64">CE14+0.15</f>
        <v>5.8000000000000025</v>
      </c>
      <c r="CH14">
        <f t="shared" ref="CH14" si="65">CF14+0.15</f>
        <v>6.0500000000000025</v>
      </c>
      <c r="CI14">
        <f t="shared" ref="CI14" si="66">CG14+0.15</f>
        <v>5.9500000000000028</v>
      </c>
      <c r="CJ14">
        <f t="shared" ref="CJ14" si="67">CH14+0.15</f>
        <v>6.2000000000000028</v>
      </c>
      <c r="CK14">
        <f t="shared" ref="CK14" si="68">CI14+0.15</f>
        <v>6.1000000000000032</v>
      </c>
      <c r="CL14">
        <f t="shared" ref="CL14" si="69">CJ14+0.15</f>
        <v>6.3500000000000032</v>
      </c>
      <c r="CM14">
        <f t="shared" ref="CM14" si="70">CK14+0.15</f>
        <v>6.2500000000000036</v>
      </c>
      <c r="CN14">
        <f t="shared" ref="CN14" si="71">CL14+0.15</f>
        <v>6.5000000000000036</v>
      </c>
      <c r="CO14">
        <f t="shared" ref="CO14" si="72">CM14+0.15</f>
        <v>6.4000000000000039</v>
      </c>
      <c r="CP14">
        <f t="shared" ref="CP14" si="73">CN14+0.15</f>
        <v>6.6500000000000039</v>
      </c>
      <c r="CQ14">
        <f t="shared" ref="CQ14" si="74">CO14+0.15</f>
        <v>6.5500000000000043</v>
      </c>
      <c r="CR14">
        <f t="shared" ref="CR14" si="75">CP14+0.15</f>
        <v>6.8000000000000043</v>
      </c>
      <c r="CS14">
        <f t="shared" ref="CS14" si="76">CQ14+0.15</f>
        <v>6.7000000000000046</v>
      </c>
      <c r="CT14">
        <f t="shared" ref="CT14" si="77">CR14+0.15</f>
        <v>6.9500000000000046</v>
      </c>
      <c r="CU14">
        <f t="shared" ref="CU14" si="78">CS14+0.15</f>
        <v>6.850000000000005</v>
      </c>
      <c r="CV14" t="str">
        <f>CT14+0.15&amp;","</f>
        <v>7.1,</v>
      </c>
    </row>
    <row r="15" spans="1:100" x14ac:dyDescent="0.25">
      <c r="A15" t="s">
        <v>17</v>
      </c>
    </row>
    <row r="16" spans="1:100" x14ac:dyDescent="0.25">
      <c r="A16" t="s">
        <v>18</v>
      </c>
    </row>
    <row r="17" spans="1:100" x14ac:dyDescent="0.25">
      <c r="A17" t="s">
        <v>19</v>
      </c>
    </row>
    <row r="18" spans="1:100" x14ac:dyDescent="0.25">
      <c r="A18" t="s">
        <v>20</v>
      </c>
    </row>
    <row r="19" spans="1:100" x14ac:dyDescent="0.25">
      <c r="A19" t="s">
        <v>21</v>
      </c>
    </row>
    <row r="20" spans="1:100" x14ac:dyDescent="0.25">
      <c r="A20" t="s">
        <v>22</v>
      </c>
    </row>
    <row r="21" spans="1:100" x14ac:dyDescent="0.25">
      <c r="A21" t="s">
        <v>23</v>
      </c>
    </row>
    <row r="22" spans="1:100" x14ac:dyDescent="0.25">
      <c r="A22" t="s">
        <v>24</v>
      </c>
    </row>
    <row r="23" spans="1:100" x14ac:dyDescent="0.25">
      <c r="A23" t="s">
        <v>25</v>
      </c>
      <c r="B23">
        <v>8</v>
      </c>
      <c r="C23">
        <v>12</v>
      </c>
      <c r="D23">
        <v>16</v>
      </c>
      <c r="E23">
        <v>20</v>
      </c>
      <c r="F23">
        <v>24</v>
      </c>
      <c r="G23">
        <v>28</v>
      </c>
      <c r="H23">
        <v>32</v>
      </c>
      <c r="I23">
        <v>36</v>
      </c>
      <c r="J23">
        <v>40</v>
      </c>
      <c r="K23">
        <v>44</v>
      </c>
      <c r="L23">
        <v>48</v>
      </c>
      <c r="M23">
        <v>52</v>
      </c>
      <c r="N23">
        <v>56</v>
      </c>
      <c r="O23">
        <v>60</v>
      </c>
      <c r="P23">
        <v>64</v>
      </c>
      <c r="Q23">
        <v>68</v>
      </c>
      <c r="R23">
        <v>72</v>
      </c>
      <c r="S23">
        <v>76</v>
      </c>
      <c r="T23">
        <v>80</v>
      </c>
      <c r="U23">
        <v>84</v>
      </c>
      <c r="V23">
        <v>88</v>
      </c>
      <c r="W23">
        <v>92</v>
      </c>
      <c r="X23">
        <v>96</v>
      </c>
      <c r="Y23">
        <v>100</v>
      </c>
      <c r="Z23">
        <v>104</v>
      </c>
      <c r="AA23">
        <v>108</v>
      </c>
      <c r="AB23">
        <v>112</v>
      </c>
      <c r="AC23">
        <v>116</v>
      </c>
      <c r="AD23">
        <v>120</v>
      </c>
      <c r="AE23">
        <v>124</v>
      </c>
      <c r="AF23">
        <v>128</v>
      </c>
      <c r="AG23">
        <v>132</v>
      </c>
      <c r="AH23">
        <v>136</v>
      </c>
      <c r="AI23">
        <v>140</v>
      </c>
      <c r="AJ23">
        <v>144</v>
      </c>
      <c r="AK23">
        <v>148</v>
      </c>
      <c r="AL23">
        <v>152</v>
      </c>
      <c r="AM23">
        <v>156</v>
      </c>
      <c r="AN23">
        <v>160</v>
      </c>
      <c r="AO23">
        <v>164</v>
      </c>
      <c r="AP23">
        <v>168</v>
      </c>
      <c r="AQ23">
        <v>172</v>
      </c>
      <c r="AR23">
        <v>176</v>
      </c>
      <c r="AS23">
        <v>180</v>
      </c>
      <c r="AT23">
        <v>184</v>
      </c>
      <c r="AU23">
        <v>188</v>
      </c>
      <c r="AV23">
        <v>192</v>
      </c>
      <c r="AW23">
        <v>196</v>
      </c>
      <c r="AX23">
        <v>200</v>
      </c>
      <c r="AY23">
        <v>204</v>
      </c>
      <c r="AZ23">
        <v>208</v>
      </c>
      <c r="BA23">
        <v>212</v>
      </c>
      <c r="BB23">
        <v>216</v>
      </c>
      <c r="BC23">
        <v>220</v>
      </c>
      <c r="BD23">
        <v>224</v>
      </c>
      <c r="BE23">
        <v>228</v>
      </c>
      <c r="BF23">
        <v>232</v>
      </c>
      <c r="BG23">
        <v>236</v>
      </c>
      <c r="BH23">
        <v>240</v>
      </c>
      <c r="BI23">
        <v>244</v>
      </c>
      <c r="BJ23">
        <v>248</v>
      </c>
      <c r="BK23">
        <v>252</v>
      </c>
      <c r="BL23">
        <v>256</v>
      </c>
      <c r="BM23">
        <v>260</v>
      </c>
      <c r="BN23">
        <v>264</v>
      </c>
      <c r="BO23">
        <v>268</v>
      </c>
      <c r="BP23">
        <v>272</v>
      </c>
      <c r="BQ23">
        <v>276</v>
      </c>
      <c r="BR23">
        <v>280</v>
      </c>
      <c r="BS23">
        <v>284</v>
      </c>
      <c r="BT23">
        <v>288</v>
      </c>
      <c r="BU23">
        <v>292</v>
      </c>
      <c r="BV23">
        <v>296</v>
      </c>
      <c r="BW23">
        <v>300</v>
      </c>
      <c r="BX23">
        <v>304</v>
      </c>
      <c r="BY23">
        <v>308</v>
      </c>
      <c r="BZ23">
        <v>312</v>
      </c>
      <c r="CA23">
        <v>316</v>
      </c>
      <c r="CB23">
        <v>320</v>
      </c>
      <c r="CC23">
        <v>324</v>
      </c>
      <c r="CD23">
        <v>328</v>
      </c>
      <c r="CE23">
        <v>332</v>
      </c>
      <c r="CF23">
        <v>336</v>
      </c>
      <c r="CG23">
        <v>340</v>
      </c>
      <c r="CH23">
        <v>344</v>
      </c>
      <c r="CI23">
        <v>348</v>
      </c>
      <c r="CJ23">
        <v>352</v>
      </c>
      <c r="CK23">
        <v>356</v>
      </c>
      <c r="CL23">
        <v>360</v>
      </c>
      <c r="CM23">
        <v>364</v>
      </c>
      <c r="CN23">
        <v>368</v>
      </c>
      <c r="CO23">
        <v>372</v>
      </c>
      <c r="CP23">
        <v>376</v>
      </c>
      <c r="CQ23">
        <v>380</v>
      </c>
      <c r="CR23">
        <v>384</v>
      </c>
      <c r="CS23">
        <v>388</v>
      </c>
      <c r="CT23">
        <v>392</v>
      </c>
      <c r="CU23">
        <v>396</v>
      </c>
      <c r="CV23" t="s">
        <v>4</v>
      </c>
    </row>
    <row r="24" spans="1:100" x14ac:dyDescent="0.25">
      <c r="A24" t="s">
        <v>26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0.25</v>
      </c>
      <c r="AZ24">
        <v>0.5</v>
      </c>
      <c r="BA24">
        <v>0.75</v>
      </c>
      <c r="BB24">
        <v>1</v>
      </c>
      <c r="BC24">
        <v>1.25</v>
      </c>
      <c r="BD24">
        <v>1.5</v>
      </c>
      <c r="BE24">
        <v>1.75</v>
      </c>
      <c r="BF24">
        <v>2</v>
      </c>
      <c r="BG24">
        <v>2.25</v>
      </c>
      <c r="BH24">
        <v>2.5</v>
      </c>
      <c r="BI24">
        <v>2.75</v>
      </c>
      <c r="BJ24">
        <v>3</v>
      </c>
      <c r="BK24">
        <v>3.25</v>
      </c>
      <c r="BL24">
        <v>3.5</v>
      </c>
      <c r="BM24">
        <v>3.75</v>
      </c>
      <c r="BN24">
        <v>4</v>
      </c>
      <c r="BO24">
        <v>4.25</v>
      </c>
      <c r="BP24">
        <v>4.5</v>
      </c>
      <c r="BQ24">
        <v>4.5</v>
      </c>
      <c r="BR24">
        <v>4.75</v>
      </c>
      <c r="BS24">
        <v>4.75</v>
      </c>
      <c r="BT24">
        <v>5</v>
      </c>
      <c r="BU24">
        <f>BS24+0.15</f>
        <v>4.9000000000000004</v>
      </c>
      <c r="BV24">
        <f t="shared" ref="BV24" si="79">BT24+0.15</f>
        <v>5.15</v>
      </c>
      <c r="BW24">
        <f t="shared" ref="BW24" si="80">BU24+0.15</f>
        <v>5.0500000000000007</v>
      </c>
      <c r="BX24">
        <f t="shared" ref="BX24" si="81">BV24+0.15</f>
        <v>5.3000000000000007</v>
      </c>
      <c r="BY24">
        <f t="shared" ref="BY24" si="82">BW24+0.15</f>
        <v>5.2000000000000011</v>
      </c>
      <c r="BZ24">
        <f t="shared" ref="BZ24" si="83">BX24+0.15</f>
        <v>5.4500000000000011</v>
      </c>
      <c r="CA24">
        <f t="shared" ref="CA24" si="84">BY24+0.15</f>
        <v>5.3500000000000014</v>
      </c>
      <c r="CB24">
        <f t="shared" ref="CB24" si="85">BZ24+0.15</f>
        <v>5.6000000000000014</v>
      </c>
      <c r="CC24">
        <f t="shared" ref="CC24" si="86">CA24+0.15</f>
        <v>5.5000000000000018</v>
      </c>
      <c r="CD24">
        <f t="shared" ref="CD24" si="87">CB24+0.15</f>
        <v>5.7500000000000018</v>
      </c>
      <c r="CE24">
        <f t="shared" ref="CE24" si="88">CC24+0.15</f>
        <v>5.6500000000000021</v>
      </c>
      <c r="CF24">
        <f t="shared" ref="CF24" si="89">CD24+0.15</f>
        <v>5.9000000000000021</v>
      </c>
      <c r="CG24">
        <f t="shared" ref="CG24" si="90">CE24+0.15</f>
        <v>5.8000000000000025</v>
      </c>
      <c r="CH24">
        <f t="shared" ref="CH24" si="91">CF24+0.15</f>
        <v>6.0500000000000025</v>
      </c>
      <c r="CI24">
        <f t="shared" ref="CI24" si="92">CG24+0.15</f>
        <v>5.9500000000000028</v>
      </c>
      <c r="CJ24">
        <f t="shared" ref="CJ24" si="93">CH24+0.15</f>
        <v>6.2000000000000028</v>
      </c>
      <c r="CK24">
        <f t="shared" ref="CK24" si="94">CI24+0.15</f>
        <v>6.1000000000000032</v>
      </c>
      <c r="CL24">
        <f t="shared" ref="CL24" si="95">CJ24+0.15</f>
        <v>6.3500000000000032</v>
      </c>
      <c r="CM24">
        <f t="shared" ref="CM24" si="96">CK24+0.15</f>
        <v>6.2500000000000036</v>
      </c>
      <c r="CN24">
        <f t="shared" ref="CN24" si="97">CL24+0.15</f>
        <v>6.5000000000000036</v>
      </c>
      <c r="CO24">
        <f t="shared" ref="CO24" si="98">CM24+0.15</f>
        <v>6.4000000000000039</v>
      </c>
      <c r="CP24">
        <f t="shared" ref="CP24" si="99">CN24+0.15</f>
        <v>6.6500000000000039</v>
      </c>
      <c r="CQ24">
        <f t="shared" ref="CQ24" si="100">CO24+0.15</f>
        <v>6.5500000000000043</v>
      </c>
      <c r="CR24">
        <f t="shared" ref="CR24" si="101">CP24+0.15</f>
        <v>6.8000000000000043</v>
      </c>
      <c r="CS24">
        <f t="shared" ref="CS24" si="102">CQ24+0.15</f>
        <v>6.7000000000000046</v>
      </c>
      <c r="CT24">
        <f t="shared" ref="CT24" si="103">CR24+0.15</f>
        <v>6.9500000000000046</v>
      </c>
      <c r="CU24">
        <f t="shared" ref="CU24" si="104">CS24+0.15</f>
        <v>6.850000000000005</v>
      </c>
      <c r="CV24" t="str">
        <f>CT24+0.15&amp;","</f>
        <v>7.1,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V28"/>
  <sheetViews>
    <sheetView workbookViewId="0"/>
  </sheetViews>
  <sheetFormatPr defaultRowHeight="15" x14ac:dyDescent="0.25"/>
  <sheetData>
    <row r="1" spans="1:100" x14ac:dyDescent="0.25">
      <c r="A1" t="s">
        <v>27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</v>
      </c>
      <c r="AZ1">
        <v>1.5</v>
      </c>
      <c r="BA1">
        <v>2</v>
      </c>
      <c r="BB1">
        <v>2.5</v>
      </c>
      <c r="BC1">
        <v>3</v>
      </c>
      <c r="BD1">
        <v>3.5</v>
      </c>
      <c r="BE1">
        <v>4</v>
      </c>
      <c r="BF1">
        <v>4.5</v>
      </c>
      <c r="BG1">
        <v>5</v>
      </c>
      <c r="BH1">
        <v>5.5</v>
      </c>
      <c r="BI1">
        <v>6</v>
      </c>
      <c r="BJ1">
        <v>6.5</v>
      </c>
      <c r="BK1">
        <v>7</v>
      </c>
      <c r="BL1">
        <v>7.5</v>
      </c>
      <c r="BM1">
        <v>8</v>
      </c>
      <c r="BN1">
        <v>8.5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 t="shared" ref="BU1:CU1" si="0">BT1+0.125</f>
        <v>10.125</v>
      </c>
      <c r="BV1">
        <f t="shared" si="0"/>
        <v>10.25</v>
      </c>
      <c r="BW1">
        <f t="shared" si="0"/>
        <v>10.375</v>
      </c>
      <c r="BX1">
        <f t="shared" si="0"/>
        <v>10.5</v>
      </c>
      <c r="BY1">
        <f t="shared" si="0"/>
        <v>10.625</v>
      </c>
      <c r="BZ1">
        <f t="shared" si="0"/>
        <v>10.75</v>
      </c>
      <c r="CA1">
        <f t="shared" si="0"/>
        <v>10.875</v>
      </c>
      <c r="CB1">
        <f t="shared" si="0"/>
        <v>11</v>
      </c>
      <c r="CC1">
        <f t="shared" si="0"/>
        <v>11.125</v>
      </c>
      <c r="CD1">
        <f t="shared" si="0"/>
        <v>11.25</v>
      </c>
      <c r="CE1">
        <f t="shared" si="0"/>
        <v>11.375</v>
      </c>
      <c r="CF1">
        <f t="shared" si="0"/>
        <v>11.5</v>
      </c>
      <c r="CG1">
        <f t="shared" si="0"/>
        <v>11.625</v>
      </c>
      <c r="CH1">
        <f t="shared" si="0"/>
        <v>11.75</v>
      </c>
      <c r="CI1">
        <f t="shared" si="0"/>
        <v>11.875</v>
      </c>
      <c r="CJ1">
        <f t="shared" si="0"/>
        <v>12</v>
      </c>
      <c r="CK1">
        <f t="shared" si="0"/>
        <v>12.125</v>
      </c>
      <c r="CL1">
        <f t="shared" si="0"/>
        <v>12.25</v>
      </c>
      <c r="CM1">
        <f t="shared" si="0"/>
        <v>12.375</v>
      </c>
      <c r="CN1">
        <f t="shared" si="0"/>
        <v>12.5</v>
      </c>
      <c r="CO1">
        <f t="shared" si="0"/>
        <v>12.625</v>
      </c>
      <c r="CP1">
        <f t="shared" si="0"/>
        <v>12.75</v>
      </c>
      <c r="CQ1">
        <f t="shared" si="0"/>
        <v>12.875</v>
      </c>
      <c r="CR1">
        <f t="shared" si="0"/>
        <v>13</v>
      </c>
      <c r="CS1">
        <f t="shared" si="0"/>
        <v>13.125</v>
      </c>
      <c r="CT1">
        <f t="shared" si="0"/>
        <v>13.25</v>
      </c>
      <c r="CU1">
        <f t="shared" si="0"/>
        <v>13.375</v>
      </c>
      <c r="CV1" t="s">
        <v>46</v>
      </c>
    </row>
    <row r="2" spans="1:100" x14ac:dyDescent="0.25">
      <c r="A2" t="s">
        <v>28</v>
      </c>
    </row>
    <row r="3" spans="1:100" x14ac:dyDescent="0.25">
      <c r="A3" t="s">
        <v>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</v>
      </c>
      <c r="AZ3">
        <v>2.5</v>
      </c>
      <c r="BA3">
        <v>4</v>
      </c>
      <c r="BB3">
        <v>5.5</v>
      </c>
      <c r="BC3">
        <v>7</v>
      </c>
      <c r="BD3">
        <v>8.5</v>
      </c>
      <c r="BE3">
        <v>10</v>
      </c>
      <c r="BF3">
        <v>11.5</v>
      </c>
      <c r="BG3">
        <v>13</v>
      </c>
      <c r="BH3">
        <v>14.5</v>
      </c>
      <c r="BI3">
        <v>16</v>
      </c>
      <c r="BJ3">
        <v>17.5</v>
      </c>
      <c r="BK3">
        <v>19</v>
      </c>
      <c r="BL3">
        <v>20.5</v>
      </c>
      <c r="BM3">
        <v>22</v>
      </c>
      <c r="BN3">
        <v>23.5</v>
      </c>
      <c r="BO3">
        <v>25</v>
      </c>
      <c r="BP3">
        <v>26.5</v>
      </c>
      <c r="BQ3">
        <v>28</v>
      </c>
      <c r="BR3">
        <v>28</v>
      </c>
      <c r="BS3">
        <v>29</v>
      </c>
      <c r="BT3">
        <v>30</v>
      </c>
      <c r="BU3">
        <f t="shared" ref="BU3:CU3" si="1">BT3+0.125</f>
        <v>30.125</v>
      </c>
      <c r="BV3">
        <f t="shared" si="1"/>
        <v>30.25</v>
      </c>
      <c r="BW3">
        <f t="shared" si="1"/>
        <v>30.375</v>
      </c>
      <c r="BX3">
        <f t="shared" si="1"/>
        <v>30.5</v>
      </c>
      <c r="BY3">
        <f t="shared" si="1"/>
        <v>30.625</v>
      </c>
      <c r="BZ3">
        <f t="shared" si="1"/>
        <v>30.75</v>
      </c>
      <c r="CA3">
        <f t="shared" si="1"/>
        <v>30.875</v>
      </c>
      <c r="CB3">
        <f t="shared" si="1"/>
        <v>31</v>
      </c>
      <c r="CC3">
        <f t="shared" si="1"/>
        <v>31.125</v>
      </c>
      <c r="CD3">
        <f t="shared" si="1"/>
        <v>31.25</v>
      </c>
      <c r="CE3">
        <f t="shared" si="1"/>
        <v>31.375</v>
      </c>
      <c r="CF3">
        <f t="shared" si="1"/>
        <v>31.5</v>
      </c>
      <c r="CG3">
        <f t="shared" si="1"/>
        <v>31.625</v>
      </c>
      <c r="CH3">
        <f t="shared" si="1"/>
        <v>31.75</v>
      </c>
      <c r="CI3">
        <f t="shared" si="1"/>
        <v>31.875</v>
      </c>
      <c r="CJ3">
        <f t="shared" si="1"/>
        <v>32</v>
      </c>
      <c r="CK3">
        <f t="shared" si="1"/>
        <v>32.125</v>
      </c>
      <c r="CL3">
        <f t="shared" si="1"/>
        <v>32.25</v>
      </c>
      <c r="CM3">
        <f t="shared" si="1"/>
        <v>32.375</v>
      </c>
      <c r="CN3">
        <f t="shared" si="1"/>
        <v>32.5</v>
      </c>
      <c r="CO3">
        <f t="shared" si="1"/>
        <v>32.625</v>
      </c>
      <c r="CP3">
        <f t="shared" si="1"/>
        <v>32.75</v>
      </c>
      <c r="CQ3">
        <f t="shared" si="1"/>
        <v>32.875</v>
      </c>
      <c r="CR3">
        <f t="shared" si="1"/>
        <v>33</v>
      </c>
      <c r="CS3">
        <f t="shared" si="1"/>
        <v>33.125</v>
      </c>
      <c r="CT3">
        <f t="shared" si="1"/>
        <v>33.25</v>
      </c>
      <c r="CU3">
        <f t="shared" si="1"/>
        <v>33.375</v>
      </c>
      <c r="CV3" t="s">
        <v>45</v>
      </c>
    </row>
    <row r="4" spans="1:100" x14ac:dyDescent="0.25">
      <c r="A4" t="s">
        <v>29</v>
      </c>
    </row>
    <row r="5" spans="1:100" x14ac:dyDescent="0.25">
      <c r="A5" t="s">
        <v>12</v>
      </c>
    </row>
    <row r="6" spans="1:100" x14ac:dyDescent="0.25">
      <c r="A6" t="s">
        <v>13</v>
      </c>
    </row>
    <row r="7" spans="1:100" x14ac:dyDescent="0.25">
      <c r="A7" t="s">
        <v>14</v>
      </c>
    </row>
    <row r="8" spans="1:100" x14ac:dyDescent="0.25">
      <c r="A8" t="s">
        <v>15</v>
      </c>
    </row>
    <row r="9" spans="1:100" x14ac:dyDescent="0.25">
      <c r="A9" t="s">
        <v>30</v>
      </c>
    </row>
    <row r="10" spans="1:100" x14ac:dyDescent="0.25">
      <c r="A10" t="s">
        <v>19</v>
      </c>
    </row>
    <row r="11" spans="1:100" x14ac:dyDescent="0.25">
      <c r="A11" t="s">
        <v>20</v>
      </c>
    </row>
    <row r="12" spans="1:100" x14ac:dyDescent="0.25">
      <c r="A12" t="s">
        <v>21</v>
      </c>
    </row>
    <row r="13" spans="1:100" x14ac:dyDescent="0.25">
      <c r="A13" t="s">
        <v>22</v>
      </c>
    </row>
    <row r="14" spans="1:100" x14ac:dyDescent="0.25">
      <c r="A14" t="s">
        <v>23</v>
      </c>
    </row>
    <row r="15" spans="1:100" x14ac:dyDescent="0.25">
      <c r="A15" t="s">
        <v>24</v>
      </c>
    </row>
    <row r="16" spans="1:100" x14ac:dyDescent="0.25">
      <c r="A16" t="s">
        <v>31</v>
      </c>
    </row>
    <row r="17" spans="1:100" x14ac:dyDescent="0.25">
      <c r="A17" t="s">
        <v>32</v>
      </c>
    </row>
    <row r="18" spans="1:100" x14ac:dyDescent="0.25">
      <c r="A18" t="s">
        <v>33</v>
      </c>
    </row>
    <row r="19" spans="1:100" x14ac:dyDescent="0.25">
      <c r="A19" t="s">
        <v>34</v>
      </c>
    </row>
    <row r="20" spans="1:100" x14ac:dyDescent="0.25">
      <c r="A20" t="s">
        <v>35</v>
      </c>
    </row>
    <row r="21" spans="1:100" x14ac:dyDescent="0.25">
      <c r="A21" t="s">
        <v>36</v>
      </c>
    </row>
    <row r="22" spans="1:100" x14ac:dyDescent="0.25">
      <c r="A22" t="s">
        <v>37</v>
      </c>
    </row>
    <row r="23" spans="1:100" x14ac:dyDescent="0.25">
      <c r="A23" t="s">
        <v>38</v>
      </c>
    </row>
    <row r="24" spans="1:100" x14ac:dyDescent="0.25">
      <c r="A24" t="s">
        <v>39</v>
      </c>
    </row>
    <row r="25" spans="1:100" x14ac:dyDescent="0.25">
      <c r="A25" t="s">
        <v>40</v>
      </c>
    </row>
    <row r="26" spans="1:100" x14ac:dyDescent="0.25">
      <c r="A26" t="s">
        <v>41</v>
      </c>
    </row>
    <row r="27" spans="1:100" x14ac:dyDescent="0.25">
      <c r="A27" t="s">
        <v>42</v>
      </c>
    </row>
    <row r="28" spans="1:100" x14ac:dyDescent="0.25">
      <c r="A28" t="s">
        <v>43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2</v>
      </c>
      <c r="AZ28">
        <v>3</v>
      </c>
      <c r="BA28">
        <v>4</v>
      </c>
      <c r="BB28">
        <v>5</v>
      </c>
      <c r="BC28">
        <v>6</v>
      </c>
      <c r="BD28">
        <v>7</v>
      </c>
      <c r="BE28">
        <v>8</v>
      </c>
      <c r="BF28">
        <v>9</v>
      </c>
      <c r="BG28">
        <v>10</v>
      </c>
      <c r="BH28">
        <v>11</v>
      </c>
      <c r="BI28">
        <v>12</v>
      </c>
      <c r="BJ28">
        <v>13</v>
      </c>
      <c r="BK28">
        <v>14</v>
      </c>
      <c r="BL28">
        <v>15</v>
      </c>
      <c r="BM28">
        <v>16</v>
      </c>
      <c r="BN28">
        <v>17</v>
      </c>
      <c r="BO28">
        <v>18</v>
      </c>
      <c r="BP28">
        <v>18</v>
      </c>
      <c r="BQ28">
        <v>19</v>
      </c>
      <c r="BR28">
        <v>19</v>
      </c>
      <c r="BS28">
        <v>20</v>
      </c>
      <c r="BT28">
        <f>BS28+0.25</f>
        <v>20.25</v>
      </c>
      <c r="BU28">
        <f t="shared" ref="BU28:CU28" si="2">BT28+0.25</f>
        <v>20.5</v>
      </c>
      <c r="BV28">
        <f t="shared" si="2"/>
        <v>20.75</v>
      </c>
      <c r="BW28">
        <f t="shared" si="2"/>
        <v>21</v>
      </c>
      <c r="BX28">
        <f t="shared" si="2"/>
        <v>21.25</v>
      </c>
      <c r="BY28">
        <f t="shared" si="2"/>
        <v>21.5</v>
      </c>
      <c r="BZ28">
        <f t="shared" si="2"/>
        <v>21.75</v>
      </c>
      <c r="CA28">
        <f t="shared" si="2"/>
        <v>22</v>
      </c>
      <c r="CB28">
        <f t="shared" si="2"/>
        <v>22.25</v>
      </c>
      <c r="CC28">
        <f t="shared" si="2"/>
        <v>22.5</v>
      </c>
      <c r="CD28">
        <f t="shared" si="2"/>
        <v>22.75</v>
      </c>
      <c r="CE28">
        <f t="shared" si="2"/>
        <v>23</v>
      </c>
      <c r="CF28">
        <f t="shared" si="2"/>
        <v>23.25</v>
      </c>
      <c r="CG28">
        <f t="shared" si="2"/>
        <v>23.5</v>
      </c>
      <c r="CH28">
        <f t="shared" si="2"/>
        <v>23.75</v>
      </c>
      <c r="CI28">
        <f t="shared" si="2"/>
        <v>24</v>
      </c>
      <c r="CJ28">
        <f t="shared" si="2"/>
        <v>24.25</v>
      </c>
      <c r="CK28">
        <f t="shared" si="2"/>
        <v>24.5</v>
      </c>
      <c r="CL28">
        <f t="shared" si="2"/>
        <v>24.75</v>
      </c>
      <c r="CM28">
        <f t="shared" si="2"/>
        <v>25</v>
      </c>
      <c r="CN28">
        <f t="shared" si="2"/>
        <v>25.25</v>
      </c>
      <c r="CO28">
        <f t="shared" si="2"/>
        <v>25.5</v>
      </c>
      <c r="CP28">
        <f t="shared" si="2"/>
        <v>25.75</v>
      </c>
      <c r="CQ28">
        <f t="shared" si="2"/>
        <v>26</v>
      </c>
      <c r="CR28">
        <f t="shared" si="2"/>
        <v>26.25</v>
      </c>
      <c r="CS28">
        <f t="shared" si="2"/>
        <v>26.5</v>
      </c>
      <c r="CT28">
        <f t="shared" si="2"/>
        <v>26.75</v>
      </c>
      <c r="CU28">
        <f t="shared" si="2"/>
        <v>27</v>
      </c>
      <c r="CV28" t="s">
        <v>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W10"/>
  <sheetViews>
    <sheetView tabSelected="1" workbookViewId="0">
      <selection sqref="A1:A10"/>
    </sheetView>
  </sheetViews>
  <sheetFormatPr defaultRowHeight="15" x14ac:dyDescent="0.25"/>
  <cols>
    <col min="1" max="1" width="59.85546875" customWidth="1"/>
    <col min="2" max="2" width="36.42578125" bestFit="1" customWidth="1"/>
    <col min="3" max="5" width="3" bestFit="1" customWidth="1"/>
    <col min="6" max="46" width="4" bestFit="1" customWidth="1"/>
    <col min="47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1" x14ac:dyDescent="0.25">
      <c r="A1" t="str">
        <f>combine(B1:CW1)&amp;","</f>
        <v>characterAttackSpeed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48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f>BU1+0.25</f>
        <v>10.25</v>
      </c>
      <c r="BW1">
        <f t="shared" ref="BW1:CV1" si="0">BV1+0.25</f>
        <v>10.5</v>
      </c>
      <c r="BX1">
        <f t="shared" si="0"/>
        <v>10.75</v>
      </c>
      <c r="BY1">
        <f t="shared" si="0"/>
        <v>11</v>
      </c>
      <c r="BZ1">
        <f t="shared" si="0"/>
        <v>11.25</v>
      </c>
      <c r="CA1">
        <f t="shared" si="0"/>
        <v>11.5</v>
      </c>
      <c r="CB1">
        <f t="shared" si="0"/>
        <v>11.75</v>
      </c>
      <c r="CC1">
        <f t="shared" si="0"/>
        <v>12</v>
      </c>
      <c r="CD1">
        <f t="shared" si="0"/>
        <v>12.25</v>
      </c>
      <c r="CE1">
        <f t="shared" si="0"/>
        <v>12.5</v>
      </c>
      <c r="CF1">
        <f t="shared" si="0"/>
        <v>12.75</v>
      </c>
      <c r="CG1">
        <f t="shared" si="0"/>
        <v>13</v>
      </c>
      <c r="CH1">
        <f t="shared" si="0"/>
        <v>13.25</v>
      </c>
      <c r="CI1">
        <f t="shared" si="0"/>
        <v>13.5</v>
      </c>
      <c r="CJ1">
        <f t="shared" si="0"/>
        <v>13.75</v>
      </c>
      <c r="CK1">
        <f t="shared" si="0"/>
        <v>14</v>
      </c>
      <c r="CL1">
        <f t="shared" si="0"/>
        <v>14.25</v>
      </c>
      <c r="CM1">
        <f t="shared" si="0"/>
        <v>14.5</v>
      </c>
      <c r="CN1">
        <f t="shared" si="0"/>
        <v>14.75</v>
      </c>
      <c r="CO1">
        <f t="shared" si="0"/>
        <v>15</v>
      </c>
      <c r="CP1">
        <f t="shared" si="0"/>
        <v>15.25</v>
      </c>
      <c r="CQ1">
        <f t="shared" si="0"/>
        <v>15.5</v>
      </c>
      <c r="CR1">
        <f t="shared" si="0"/>
        <v>15.75</v>
      </c>
      <c r="CS1">
        <f t="shared" si="0"/>
        <v>16</v>
      </c>
      <c r="CT1">
        <f t="shared" si="0"/>
        <v>16.25</v>
      </c>
      <c r="CU1">
        <f t="shared" si="0"/>
        <v>16.5</v>
      </c>
      <c r="CV1">
        <f t="shared" si="0"/>
        <v>16.75</v>
      </c>
      <c r="CW1">
        <v>17</v>
      </c>
    </row>
    <row r="2" spans="1:101" x14ac:dyDescent="0.25">
      <c r="A2" t="str">
        <f t="shared" ref="A2:A10" si="1">combine(B2:CW2)&amp;","</f>
        <v>characterDexterity,5.000000;10;15;20;25;30;35;40;45;50;55;60;65;70;75;80;85;90;95;100;105;110;115;120;125;130;135;140;145;150;155;160;165;170;175;180;185;190;195;200;205;210;215;220;225;230;235;240;245;250;255;260;265;270;275;280;285;290;295;300;305;310;315;320;325;330;335;340;345;350;355;360;365;370;375;380;385;390;395;400;405;410;415;420;425;430;435;440;445;450;455;460;465;470;475;480;485;490;495;500,</v>
      </c>
      <c r="B2" t="s">
        <v>49</v>
      </c>
      <c r="C2">
        <v>10</v>
      </c>
      <c r="D2">
        <v>15</v>
      </c>
      <c r="E2">
        <v>20</v>
      </c>
      <c r="F2">
        <v>25</v>
      </c>
      <c r="G2">
        <v>30</v>
      </c>
      <c r="H2">
        <v>35</v>
      </c>
      <c r="I2">
        <v>40</v>
      </c>
      <c r="J2">
        <v>45</v>
      </c>
      <c r="K2">
        <v>50</v>
      </c>
      <c r="L2">
        <v>55</v>
      </c>
      <c r="M2">
        <v>60</v>
      </c>
      <c r="N2">
        <v>65</v>
      </c>
      <c r="O2">
        <v>70</v>
      </c>
      <c r="P2">
        <v>75</v>
      </c>
      <c r="Q2">
        <v>80</v>
      </c>
      <c r="R2">
        <v>85</v>
      </c>
      <c r="S2">
        <v>90</v>
      </c>
      <c r="T2">
        <v>95</v>
      </c>
      <c r="U2">
        <v>100</v>
      </c>
      <c r="V2">
        <v>105</v>
      </c>
      <c r="W2">
        <v>110</v>
      </c>
      <c r="X2">
        <v>115</v>
      </c>
      <c r="Y2">
        <v>120</v>
      </c>
      <c r="Z2">
        <v>125</v>
      </c>
      <c r="AA2">
        <v>130</v>
      </c>
      <c r="AB2">
        <v>135</v>
      </c>
      <c r="AC2">
        <v>140</v>
      </c>
      <c r="AD2">
        <v>145</v>
      </c>
      <c r="AE2">
        <v>150</v>
      </c>
      <c r="AF2">
        <v>155</v>
      </c>
      <c r="AG2">
        <v>160</v>
      </c>
      <c r="AH2">
        <v>165</v>
      </c>
      <c r="AI2">
        <v>170</v>
      </c>
      <c r="AJ2">
        <v>175</v>
      </c>
      <c r="AK2">
        <v>180</v>
      </c>
      <c r="AL2">
        <v>185</v>
      </c>
      <c r="AM2">
        <v>190</v>
      </c>
      <c r="AN2">
        <v>195</v>
      </c>
      <c r="AO2">
        <v>200</v>
      </c>
      <c r="AP2">
        <v>205</v>
      </c>
      <c r="AQ2">
        <v>210</v>
      </c>
      <c r="AR2">
        <v>215</v>
      </c>
      <c r="AS2">
        <v>220</v>
      </c>
      <c r="AT2">
        <v>225</v>
      </c>
      <c r="AU2">
        <v>230</v>
      </c>
      <c r="AV2">
        <v>235</v>
      </c>
      <c r="AW2">
        <v>240</v>
      </c>
      <c r="AX2">
        <v>245</v>
      </c>
      <c r="AY2">
        <v>250</v>
      </c>
      <c r="AZ2">
        <f>AY2+5</f>
        <v>255</v>
      </c>
      <c r="BA2">
        <f t="shared" ref="BA2:CV2" si="2">AZ2+5</f>
        <v>260</v>
      </c>
      <c r="BB2">
        <f t="shared" si="2"/>
        <v>265</v>
      </c>
      <c r="BC2">
        <f t="shared" si="2"/>
        <v>270</v>
      </c>
      <c r="BD2">
        <f t="shared" si="2"/>
        <v>275</v>
      </c>
      <c r="BE2">
        <f t="shared" si="2"/>
        <v>280</v>
      </c>
      <c r="BF2">
        <f t="shared" si="2"/>
        <v>285</v>
      </c>
      <c r="BG2">
        <f t="shared" si="2"/>
        <v>290</v>
      </c>
      <c r="BH2">
        <f t="shared" si="2"/>
        <v>295</v>
      </c>
      <c r="BI2">
        <f t="shared" si="2"/>
        <v>300</v>
      </c>
      <c r="BJ2">
        <f t="shared" si="2"/>
        <v>305</v>
      </c>
      <c r="BK2">
        <f t="shared" si="2"/>
        <v>310</v>
      </c>
      <c r="BL2">
        <f t="shared" si="2"/>
        <v>315</v>
      </c>
      <c r="BM2">
        <f t="shared" si="2"/>
        <v>320</v>
      </c>
      <c r="BN2">
        <f t="shared" si="2"/>
        <v>325</v>
      </c>
      <c r="BO2">
        <f t="shared" si="2"/>
        <v>330</v>
      </c>
      <c r="BP2">
        <f t="shared" si="2"/>
        <v>335</v>
      </c>
      <c r="BQ2">
        <f t="shared" si="2"/>
        <v>340</v>
      </c>
      <c r="BR2">
        <f t="shared" si="2"/>
        <v>345</v>
      </c>
      <c r="BS2">
        <f t="shared" si="2"/>
        <v>350</v>
      </c>
      <c r="BT2">
        <f t="shared" si="2"/>
        <v>355</v>
      </c>
      <c r="BU2">
        <f t="shared" si="2"/>
        <v>360</v>
      </c>
      <c r="BV2">
        <f t="shared" si="2"/>
        <v>365</v>
      </c>
      <c r="BW2">
        <f t="shared" si="2"/>
        <v>370</v>
      </c>
      <c r="BX2">
        <f t="shared" si="2"/>
        <v>375</v>
      </c>
      <c r="BY2">
        <f t="shared" si="2"/>
        <v>380</v>
      </c>
      <c r="BZ2">
        <f t="shared" si="2"/>
        <v>385</v>
      </c>
      <c r="CA2">
        <f t="shared" si="2"/>
        <v>390</v>
      </c>
      <c r="CB2">
        <f t="shared" si="2"/>
        <v>395</v>
      </c>
      <c r="CC2">
        <f t="shared" si="2"/>
        <v>400</v>
      </c>
      <c r="CD2">
        <f t="shared" si="2"/>
        <v>405</v>
      </c>
      <c r="CE2">
        <f t="shared" si="2"/>
        <v>410</v>
      </c>
      <c r="CF2">
        <f t="shared" si="2"/>
        <v>415</v>
      </c>
      <c r="CG2">
        <f t="shared" si="2"/>
        <v>420</v>
      </c>
      <c r="CH2">
        <f t="shared" si="2"/>
        <v>425</v>
      </c>
      <c r="CI2">
        <f t="shared" si="2"/>
        <v>430</v>
      </c>
      <c r="CJ2">
        <f t="shared" si="2"/>
        <v>435</v>
      </c>
      <c r="CK2">
        <f t="shared" si="2"/>
        <v>440</v>
      </c>
      <c r="CL2">
        <f t="shared" si="2"/>
        <v>445</v>
      </c>
      <c r="CM2">
        <f t="shared" si="2"/>
        <v>450</v>
      </c>
      <c r="CN2">
        <f t="shared" si="2"/>
        <v>455</v>
      </c>
      <c r="CO2">
        <f t="shared" si="2"/>
        <v>460</v>
      </c>
      <c r="CP2">
        <f t="shared" si="2"/>
        <v>465</v>
      </c>
      <c r="CQ2">
        <f t="shared" si="2"/>
        <v>470</v>
      </c>
      <c r="CR2">
        <f t="shared" si="2"/>
        <v>475</v>
      </c>
      <c r="CS2">
        <f t="shared" si="2"/>
        <v>480</v>
      </c>
      <c r="CT2">
        <f t="shared" si="2"/>
        <v>485</v>
      </c>
      <c r="CU2">
        <f t="shared" si="2"/>
        <v>490</v>
      </c>
      <c r="CV2">
        <f t="shared" si="2"/>
        <v>495</v>
      </c>
      <c r="CW2">
        <v>500</v>
      </c>
    </row>
    <row r="3" spans="1:101" x14ac:dyDescent="0.25">
      <c r="A3" t="str">
        <f t="shared" si="1"/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f>BU3+0.25</f>
        <v>10.25</v>
      </c>
      <c r="BW3">
        <f t="shared" ref="BW3:CV5" si="3">BV3+0.25</f>
        <v>10.5</v>
      </c>
      <c r="BX3">
        <f t="shared" si="3"/>
        <v>10.75</v>
      </c>
      <c r="BY3">
        <f t="shared" si="3"/>
        <v>11</v>
      </c>
      <c r="BZ3">
        <f t="shared" si="3"/>
        <v>11.25</v>
      </c>
      <c r="CA3">
        <f t="shared" si="3"/>
        <v>11.5</v>
      </c>
      <c r="CB3">
        <f t="shared" si="3"/>
        <v>11.75</v>
      </c>
      <c r="CC3">
        <f t="shared" si="3"/>
        <v>12</v>
      </c>
      <c r="CD3">
        <f t="shared" si="3"/>
        <v>12.25</v>
      </c>
      <c r="CE3">
        <f t="shared" si="3"/>
        <v>12.5</v>
      </c>
      <c r="CF3">
        <f t="shared" si="3"/>
        <v>12.75</v>
      </c>
      <c r="CG3">
        <f t="shared" si="3"/>
        <v>13</v>
      </c>
      <c r="CH3">
        <f t="shared" si="3"/>
        <v>13.25</v>
      </c>
      <c r="CI3">
        <f t="shared" si="3"/>
        <v>13.5</v>
      </c>
      <c r="CJ3">
        <f t="shared" si="3"/>
        <v>13.75</v>
      </c>
      <c r="CK3">
        <f t="shared" si="3"/>
        <v>14</v>
      </c>
      <c r="CL3">
        <f t="shared" si="3"/>
        <v>14.25</v>
      </c>
      <c r="CM3">
        <f t="shared" si="3"/>
        <v>14.5</v>
      </c>
      <c r="CN3">
        <f t="shared" si="3"/>
        <v>14.75</v>
      </c>
      <c r="CO3">
        <f t="shared" si="3"/>
        <v>15</v>
      </c>
      <c r="CP3">
        <f t="shared" si="3"/>
        <v>15.25</v>
      </c>
      <c r="CQ3">
        <f t="shared" si="3"/>
        <v>15.5</v>
      </c>
      <c r="CR3">
        <f t="shared" si="3"/>
        <v>15.75</v>
      </c>
      <c r="CS3">
        <f t="shared" si="3"/>
        <v>16</v>
      </c>
      <c r="CT3">
        <f t="shared" si="3"/>
        <v>16.25</v>
      </c>
      <c r="CU3">
        <f t="shared" si="3"/>
        <v>16.5</v>
      </c>
      <c r="CV3">
        <f t="shared" si="3"/>
        <v>16.75</v>
      </c>
      <c r="CW3">
        <v>17</v>
      </c>
    </row>
    <row r="4" spans="1:101" x14ac:dyDescent="0.25">
      <c r="A4" t="str">
        <f t="shared" si="1"/>
        <v>characterIntelligence,3.000000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4" t="s">
        <v>51</v>
      </c>
      <c r="C4">
        <v>6</v>
      </c>
      <c r="D4">
        <v>9</v>
      </c>
      <c r="E4">
        <v>12</v>
      </c>
      <c r="F4">
        <v>15</v>
      </c>
      <c r="G4">
        <v>18</v>
      </c>
      <c r="H4">
        <v>21</v>
      </c>
      <c r="I4">
        <v>24</v>
      </c>
      <c r="J4">
        <v>27</v>
      </c>
      <c r="K4">
        <v>30</v>
      </c>
      <c r="L4">
        <v>33</v>
      </c>
      <c r="M4">
        <v>36</v>
      </c>
      <c r="N4">
        <v>39</v>
      </c>
      <c r="O4">
        <v>42</v>
      </c>
      <c r="P4">
        <v>45</v>
      </c>
      <c r="Q4">
        <v>48</v>
      </c>
      <c r="R4">
        <v>51</v>
      </c>
      <c r="S4">
        <v>54</v>
      </c>
      <c r="T4">
        <v>57</v>
      </c>
      <c r="U4">
        <v>60</v>
      </c>
      <c r="V4">
        <v>63</v>
      </c>
      <c r="W4">
        <v>66</v>
      </c>
      <c r="X4">
        <v>69</v>
      </c>
      <c r="Y4">
        <v>72</v>
      </c>
      <c r="Z4">
        <v>75</v>
      </c>
      <c r="AA4">
        <v>78</v>
      </c>
      <c r="AB4">
        <v>81</v>
      </c>
      <c r="AC4">
        <v>84</v>
      </c>
      <c r="AD4">
        <v>87</v>
      </c>
      <c r="AE4">
        <v>90</v>
      </c>
      <c r="AF4">
        <v>93</v>
      </c>
      <c r="AG4">
        <v>96</v>
      </c>
      <c r="AH4">
        <v>99</v>
      </c>
      <c r="AI4">
        <v>102</v>
      </c>
      <c r="AJ4">
        <v>105</v>
      </c>
      <c r="AK4">
        <v>108</v>
      </c>
      <c r="AL4">
        <v>111</v>
      </c>
      <c r="AM4">
        <v>114</v>
      </c>
      <c r="AN4">
        <v>117</v>
      </c>
      <c r="AO4">
        <v>120</v>
      </c>
      <c r="AP4">
        <v>123</v>
      </c>
      <c r="AQ4">
        <v>126</v>
      </c>
      <c r="AR4">
        <v>129</v>
      </c>
      <c r="AS4">
        <v>132</v>
      </c>
      <c r="AT4">
        <v>135</v>
      </c>
      <c r="AU4">
        <v>138</v>
      </c>
      <c r="AV4">
        <v>141</v>
      </c>
      <c r="AW4">
        <v>144</v>
      </c>
      <c r="AX4">
        <v>147</v>
      </c>
      <c r="AY4">
        <f>AX4+3</f>
        <v>150</v>
      </c>
      <c r="AZ4">
        <f t="shared" ref="AZ4:CW4" si="4">AY4+3</f>
        <v>153</v>
      </c>
      <c r="BA4">
        <f t="shared" si="4"/>
        <v>156</v>
      </c>
      <c r="BB4">
        <f t="shared" si="4"/>
        <v>159</v>
      </c>
      <c r="BC4">
        <f t="shared" si="4"/>
        <v>162</v>
      </c>
      <c r="BD4">
        <f t="shared" si="4"/>
        <v>165</v>
      </c>
      <c r="BE4">
        <f t="shared" si="4"/>
        <v>168</v>
      </c>
      <c r="BF4">
        <f t="shared" si="4"/>
        <v>171</v>
      </c>
      <c r="BG4">
        <f t="shared" si="4"/>
        <v>174</v>
      </c>
      <c r="BH4">
        <f t="shared" si="4"/>
        <v>177</v>
      </c>
      <c r="BI4">
        <f t="shared" si="4"/>
        <v>180</v>
      </c>
      <c r="BJ4">
        <f t="shared" si="4"/>
        <v>183</v>
      </c>
      <c r="BK4">
        <f t="shared" si="4"/>
        <v>186</v>
      </c>
      <c r="BL4">
        <f t="shared" si="4"/>
        <v>189</v>
      </c>
      <c r="BM4">
        <f t="shared" si="4"/>
        <v>192</v>
      </c>
      <c r="BN4">
        <f t="shared" si="4"/>
        <v>195</v>
      </c>
      <c r="BO4">
        <f t="shared" si="4"/>
        <v>198</v>
      </c>
      <c r="BP4">
        <f t="shared" si="4"/>
        <v>201</v>
      </c>
      <c r="BQ4">
        <f t="shared" si="4"/>
        <v>204</v>
      </c>
      <c r="BR4">
        <f t="shared" si="4"/>
        <v>207</v>
      </c>
      <c r="BS4">
        <f t="shared" si="4"/>
        <v>210</v>
      </c>
      <c r="BT4">
        <f t="shared" si="4"/>
        <v>213</v>
      </c>
      <c r="BU4">
        <f t="shared" si="4"/>
        <v>216</v>
      </c>
      <c r="BV4">
        <f t="shared" si="4"/>
        <v>219</v>
      </c>
      <c r="BW4">
        <f t="shared" si="4"/>
        <v>222</v>
      </c>
      <c r="BX4">
        <f t="shared" si="4"/>
        <v>225</v>
      </c>
      <c r="BY4">
        <f t="shared" si="4"/>
        <v>228</v>
      </c>
      <c r="BZ4">
        <f t="shared" si="4"/>
        <v>231</v>
      </c>
      <c r="CA4">
        <f t="shared" si="4"/>
        <v>234</v>
      </c>
      <c r="CB4">
        <f t="shared" si="4"/>
        <v>237</v>
      </c>
      <c r="CC4">
        <f t="shared" si="4"/>
        <v>240</v>
      </c>
      <c r="CD4">
        <f t="shared" si="4"/>
        <v>243</v>
      </c>
      <c r="CE4">
        <f t="shared" si="4"/>
        <v>246</v>
      </c>
      <c r="CF4">
        <f t="shared" si="4"/>
        <v>249</v>
      </c>
      <c r="CG4">
        <f t="shared" si="4"/>
        <v>252</v>
      </c>
      <c r="CH4">
        <f t="shared" si="4"/>
        <v>255</v>
      </c>
      <c r="CI4">
        <f t="shared" si="4"/>
        <v>258</v>
      </c>
      <c r="CJ4">
        <f t="shared" si="4"/>
        <v>261</v>
      </c>
      <c r="CK4">
        <f t="shared" si="4"/>
        <v>264</v>
      </c>
      <c r="CL4">
        <f t="shared" si="4"/>
        <v>267</v>
      </c>
      <c r="CM4">
        <f t="shared" si="4"/>
        <v>270</v>
      </c>
      <c r="CN4">
        <f t="shared" si="4"/>
        <v>273</v>
      </c>
      <c r="CO4">
        <f t="shared" si="4"/>
        <v>276</v>
      </c>
      <c r="CP4">
        <f t="shared" si="4"/>
        <v>279</v>
      </c>
      <c r="CQ4">
        <f t="shared" si="4"/>
        <v>282</v>
      </c>
      <c r="CR4">
        <f t="shared" si="4"/>
        <v>285</v>
      </c>
      <c r="CS4">
        <f t="shared" si="4"/>
        <v>288</v>
      </c>
      <c r="CT4">
        <f t="shared" si="4"/>
        <v>291</v>
      </c>
      <c r="CU4">
        <f t="shared" si="4"/>
        <v>294</v>
      </c>
      <c r="CV4">
        <f t="shared" si="4"/>
        <v>297</v>
      </c>
      <c r="CW4">
        <f t="shared" si="4"/>
        <v>300</v>
      </c>
    </row>
    <row r="5" spans="1:101" x14ac:dyDescent="0.25">
      <c r="A5" t="str">
        <f t="shared" si="1"/>
        <v>characterIntelligenc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f>BU5+0.25</f>
        <v>10.25</v>
      </c>
      <c r="BW5">
        <f t="shared" si="3"/>
        <v>10.5</v>
      </c>
      <c r="BX5">
        <f t="shared" si="3"/>
        <v>10.75</v>
      </c>
      <c r="BY5">
        <f t="shared" si="3"/>
        <v>11</v>
      </c>
      <c r="BZ5">
        <f t="shared" si="3"/>
        <v>11.25</v>
      </c>
      <c r="CA5">
        <f t="shared" si="3"/>
        <v>11.5</v>
      </c>
      <c r="CB5">
        <f t="shared" si="3"/>
        <v>11.75</v>
      </c>
      <c r="CC5">
        <f t="shared" si="3"/>
        <v>12</v>
      </c>
      <c r="CD5">
        <f t="shared" si="3"/>
        <v>12.25</v>
      </c>
      <c r="CE5">
        <f t="shared" si="3"/>
        <v>12.5</v>
      </c>
      <c r="CF5">
        <f t="shared" si="3"/>
        <v>12.75</v>
      </c>
      <c r="CG5">
        <f t="shared" si="3"/>
        <v>13</v>
      </c>
      <c r="CH5">
        <f t="shared" si="3"/>
        <v>13.25</v>
      </c>
      <c r="CI5">
        <f t="shared" si="3"/>
        <v>13.5</v>
      </c>
      <c r="CJ5">
        <f t="shared" si="3"/>
        <v>13.75</v>
      </c>
      <c r="CK5">
        <f t="shared" si="3"/>
        <v>14</v>
      </c>
      <c r="CL5">
        <f t="shared" si="3"/>
        <v>14.25</v>
      </c>
      <c r="CM5">
        <f t="shared" si="3"/>
        <v>14.5</v>
      </c>
      <c r="CN5">
        <f t="shared" si="3"/>
        <v>14.75</v>
      </c>
      <c r="CO5">
        <f t="shared" si="3"/>
        <v>15</v>
      </c>
      <c r="CP5">
        <f t="shared" si="3"/>
        <v>15.25</v>
      </c>
      <c r="CQ5">
        <f t="shared" si="3"/>
        <v>15.5</v>
      </c>
      <c r="CR5">
        <f t="shared" si="3"/>
        <v>15.75</v>
      </c>
      <c r="CS5">
        <f t="shared" si="3"/>
        <v>16</v>
      </c>
      <c r="CT5">
        <f t="shared" si="3"/>
        <v>16.25</v>
      </c>
      <c r="CU5">
        <f t="shared" si="3"/>
        <v>16.5</v>
      </c>
      <c r="CV5">
        <f t="shared" si="3"/>
        <v>16.75</v>
      </c>
      <c r="CW5">
        <v>17</v>
      </c>
    </row>
    <row r="6" spans="1:101" x14ac:dyDescent="0.25">
      <c r="A6" t="str">
        <f t="shared" si="1"/>
        <v>characterLife,22.000000;44;66;88;110;132;154;176;198;220;242;264;286;308;330;352;374;396;418;440;462;484;506;528;550;572;594;616;638;660;682;704;726;748;770;792;814;836;858;880;902;924;946;968;990;1012;1034;1056;1078;1100;1122;1144;1166;1188;1210;1232;1254;1276;1298;1320;1342;1364;1386;1408;1430;1452;1474;1496;1518;1540;1562;1584;1606;1628;1650;1672;1694;1716;1738;1760;1782;1804;1826;1848;1870;1892;1914;1936;1958;1980;2002;2024;2046;2068;2090;2112;2134;2156;2178;2200,</v>
      </c>
      <c r="B6" t="s">
        <v>53</v>
      </c>
      <c r="C6">
        <v>44</v>
      </c>
      <c r="D6">
        <v>66</v>
      </c>
      <c r="E6">
        <v>88</v>
      </c>
      <c r="F6">
        <v>110</v>
      </c>
      <c r="G6">
        <v>132</v>
      </c>
      <c r="H6">
        <v>154</v>
      </c>
      <c r="I6">
        <v>176</v>
      </c>
      <c r="J6">
        <v>198</v>
      </c>
      <c r="K6">
        <v>220</v>
      </c>
      <c r="L6">
        <v>242</v>
      </c>
      <c r="M6">
        <v>264</v>
      </c>
      <c r="N6">
        <v>286</v>
      </c>
      <c r="O6">
        <v>308</v>
      </c>
      <c r="P6">
        <v>330</v>
      </c>
      <c r="Q6">
        <v>352</v>
      </c>
      <c r="R6">
        <v>374</v>
      </c>
      <c r="S6">
        <v>396</v>
      </c>
      <c r="T6">
        <v>418</v>
      </c>
      <c r="U6">
        <v>440</v>
      </c>
      <c r="V6">
        <v>462</v>
      </c>
      <c r="W6">
        <v>484</v>
      </c>
      <c r="X6">
        <v>506</v>
      </c>
      <c r="Y6">
        <v>528</v>
      </c>
      <c r="Z6">
        <v>550</v>
      </c>
      <c r="AA6">
        <v>572</v>
      </c>
      <c r="AB6">
        <v>594</v>
      </c>
      <c r="AC6">
        <v>616</v>
      </c>
      <c r="AD6">
        <v>638</v>
      </c>
      <c r="AE6">
        <v>660</v>
      </c>
      <c r="AF6">
        <v>682</v>
      </c>
      <c r="AG6">
        <v>704</v>
      </c>
      <c r="AH6">
        <v>726</v>
      </c>
      <c r="AI6">
        <v>748</v>
      </c>
      <c r="AJ6">
        <v>770</v>
      </c>
      <c r="AK6">
        <v>792</v>
      </c>
      <c r="AL6">
        <v>814</v>
      </c>
      <c r="AM6">
        <v>836</v>
      </c>
      <c r="AN6">
        <v>858</v>
      </c>
      <c r="AO6">
        <v>880</v>
      </c>
      <c r="AP6">
        <v>902</v>
      </c>
      <c r="AQ6">
        <v>924</v>
      </c>
      <c r="AR6">
        <v>946</v>
      </c>
      <c r="AS6">
        <v>968</v>
      </c>
      <c r="AT6">
        <v>990</v>
      </c>
      <c r="AU6">
        <v>1012</v>
      </c>
      <c r="AV6">
        <v>1034</v>
      </c>
      <c r="AW6">
        <v>1056</v>
      </c>
      <c r="AX6">
        <v>1078</v>
      </c>
      <c r="AY6">
        <f>AX6+(AW6-AV6)</f>
        <v>1100</v>
      </c>
      <c r="AZ6">
        <f t="shared" ref="AZ6:CW6" si="5">AY6+(AX6-AW6)</f>
        <v>1122</v>
      </c>
      <c r="BA6">
        <f t="shared" si="5"/>
        <v>1144</v>
      </c>
      <c r="BB6">
        <f t="shared" si="5"/>
        <v>1166</v>
      </c>
      <c r="BC6">
        <f t="shared" si="5"/>
        <v>1188</v>
      </c>
      <c r="BD6">
        <f t="shared" si="5"/>
        <v>1210</v>
      </c>
      <c r="BE6">
        <f t="shared" si="5"/>
        <v>1232</v>
      </c>
      <c r="BF6">
        <f t="shared" si="5"/>
        <v>1254</v>
      </c>
      <c r="BG6">
        <f t="shared" si="5"/>
        <v>1276</v>
      </c>
      <c r="BH6">
        <f t="shared" si="5"/>
        <v>1298</v>
      </c>
      <c r="BI6">
        <f t="shared" si="5"/>
        <v>1320</v>
      </c>
      <c r="BJ6">
        <f t="shared" si="5"/>
        <v>1342</v>
      </c>
      <c r="BK6">
        <f t="shared" si="5"/>
        <v>1364</v>
      </c>
      <c r="BL6">
        <f t="shared" si="5"/>
        <v>1386</v>
      </c>
      <c r="BM6">
        <f t="shared" si="5"/>
        <v>1408</v>
      </c>
      <c r="BN6">
        <f t="shared" si="5"/>
        <v>1430</v>
      </c>
      <c r="BO6">
        <f t="shared" si="5"/>
        <v>1452</v>
      </c>
      <c r="BP6">
        <f t="shared" si="5"/>
        <v>1474</v>
      </c>
      <c r="BQ6">
        <f t="shared" si="5"/>
        <v>1496</v>
      </c>
      <c r="BR6">
        <f t="shared" si="5"/>
        <v>1518</v>
      </c>
      <c r="BS6">
        <f t="shared" si="5"/>
        <v>1540</v>
      </c>
      <c r="BT6">
        <f t="shared" si="5"/>
        <v>1562</v>
      </c>
      <c r="BU6">
        <f t="shared" si="5"/>
        <v>1584</v>
      </c>
      <c r="BV6">
        <f t="shared" si="5"/>
        <v>1606</v>
      </c>
      <c r="BW6">
        <f t="shared" si="5"/>
        <v>1628</v>
      </c>
      <c r="BX6">
        <f t="shared" si="5"/>
        <v>1650</v>
      </c>
      <c r="BY6">
        <f t="shared" si="5"/>
        <v>1672</v>
      </c>
      <c r="BZ6">
        <f t="shared" si="5"/>
        <v>1694</v>
      </c>
      <c r="CA6">
        <f t="shared" si="5"/>
        <v>1716</v>
      </c>
      <c r="CB6">
        <f t="shared" si="5"/>
        <v>1738</v>
      </c>
      <c r="CC6">
        <f t="shared" si="5"/>
        <v>1760</v>
      </c>
      <c r="CD6">
        <f t="shared" si="5"/>
        <v>1782</v>
      </c>
      <c r="CE6">
        <f t="shared" si="5"/>
        <v>1804</v>
      </c>
      <c r="CF6">
        <f t="shared" si="5"/>
        <v>1826</v>
      </c>
      <c r="CG6">
        <f t="shared" si="5"/>
        <v>1848</v>
      </c>
      <c r="CH6">
        <f t="shared" si="5"/>
        <v>1870</v>
      </c>
      <c r="CI6">
        <f t="shared" si="5"/>
        <v>1892</v>
      </c>
      <c r="CJ6">
        <f t="shared" si="5"/>
        <v>1914</v>
      </c>
      <c r="CK6">
        <f t="shared" si="5"/>
        <v>1936</v>
      </c>
      <c r="CL6">
        <f t="shared" si="5"/>
        <v>1958</v>
      </c>
      <c r="CM6">
        <f t="shared" si="5"/>
        <v>1980</v>
      </c>
      <c r="CN6">
        <f t="shared" si="5"/>
        <v>2002</v>
      </c>
      <c r="CO6">
        <f t="shared" si="5"/>
        <v>2024</v>
      </c>
      <c r="CP6">
        <f t="shared" si="5"/>
        <v>2046</v>
      </c>
      <c r="CQ6">
        <f t="shared" si="5"/>
        <v>2068</v>
      </c>
      <c r="CR6">
        <f t="shared" si="5"/>
        <v>2090</v>
      </c>
      <c r="CS6">
        <f t="shared" si="5"/>
        <v>2112</v>
      </c>
      <c r="CT6">
        <f t="shared" si="5"/>
        <v>2134</v>
      </c>
      <c r="CU6">
        <f t="shared" si="5"/>
        <v>2156</v>
      </c>
      <c r="CV6">
        <f t="shared" si="5"/>
        <v>2178</v>
      </c>
      <c r="CW6">
        <f t="shared" si="5"/>
        <v>2200</v>
      </c>
    </row>
    <row r="7" spans="1:101" x14ac:dyDescent="0.25">
      <c r="A7" t="str">
        <f t="shared" si="1"/>
        <v>characterMana,16.000000;32;48;64;80;96;112;128;144;160;176;192;208;224;240;256;272;288;304;320;336;352;368;384;400;416;432;448;464;480;496;512;528;544;560;576;592;608;624;640;656;672;688;704;720;736;752;768;784;800;816;832;848;864;880;896;912;928;944;960;976;992;1008;1024;1040;1056;1072;1088;1104;1120;1136;1152;1168;1184;1200;1216;1232;1248;1264;1280;1296;1312;1328;1344;1360;1376;1392;1408;1424;1440;1456;1472;1488;1504;1520;1536;1552;1568;1584;1600,</v>
      </c>
      <c r="B7" t="s">
        <v>54</v>
      </c>
      <c r="C7">
        <v>32</v>
      </c>
      <c r="D7">
        <v>48</v>
      </c>
      <c r="E7">
        <v>64</v>
      </c>
      <c r="F7">
        <v>80</v>
      </c>
      <c r="G7">
        <v>96</v>
      </c>
      <c r="H7">
        <v>112</v>
      </c>
      <c r="I7">
        <v>128</v>
      </c>
      <c r="J7">
        <v>144</v>
      </c>
      <c r="K7">
        <v>160</v>
      </c>
      <c r="L7">
        <v>176</v>
      </c>
      <c r="M7">
        <v>192</v>
      </c>
      <c r="N7">
        <v>208</v>
      </c>
      <c r="O7">
        <v>224</v>
      </c>
      <c r="P7">
        <v>240</v>
      </c>
      <c r="Q7">
        <v>256</v>
      </c>
      <c r="R7">
        <v>272</v>
      </c>
      <c r="S7">
        <v>288</v>
      </c>
      <c r="T7">
        <v>304</v>
      </c>
      <c r="U7">
        <v>320</v>
      </c>
      <c r="V7">
        <v>336</v>
      </c>
      <c r="W7">
        <v>352</v>
      </c>
      <c r="X7">
        <v>368</v>
      </c>
      <c r="Y7">
        <v>384</v>
      </c>
      <c r="Z7">
        <v>400</v>
      </c>
      <c r="AA7">
        <v>416</v>
      </c>
      <c r="AB7">
        <v>432</v>
      </c>
      <c r="AC7">
        <v>448</v>
      </c>
      <c r="AD7">
        <v>464</v>
      </c>
      <c r="AE7">
        <v>480</v>
      </c>
      <c r="AF7">
        <v>496</v>
      </c>
      <c r="AG7">
        <v>512</v>
      </c>
      <c r="AH7">
        <v>528</v>
      </c>
      <c r="AI7">
        <v>544</v>
      </c>
      <c r="AJ7">
        <v>560</v>
      </c>
      <c r="AK7">
        <v>576</v>
      </c>
      <c r="AL7">
        <v>592</v>
      </c>
      <c r="AM7">
        <v>608</v>
      </c>
      <c r="AN7">
        <v>624</v>
      </c>
      <c r="AO7">
        <v>640</v>
      </c>
      <c r="AP7">
        <v>656</v>
      </c>
      <c r="AQ7">
        <v>672</v>
      </c>
      <c r="AR7">
        <v>688</v>
      </c>
      <c r="AS7">
        <v>704</v>
      </c>
      <c r="AT7">
        <v>720</v>
      </c>
      <c r="AU7">
        <v>736</v>
      </c>
      <c r="AV7">
        <v>752</v>
      </c>
      <c r="AW7">
        <v>768</v>
      </c>
      <c r="AX7">
        <v>784</v>
      </c>
      <c r="AY7">
        <v>800</v>
      </c>
      <c r="AZ7">
        <f>AY7+16</f>
        <v>816</v>
      </c>
      <c r="BA7">
        <f t="shared" ref="BA7:CV7" si="6">AZ7+16</f>
        <v>832</v>
      </c>
      <c r="BB7">
        <f t="shared" si="6"/>
        <v>848</v>
      </c>
      <c r="BC7">
        <f t="shared" si="6"/>
        <v>864</v>
      </c>
      <c r="BD7">
        <f t="shared" si="6"/>
        <v>880</v>
      </c>
      <c r="BE7">
        <f t="shared" si="6"/>
        <v>896</v>
      </c>
      <c r="BF7">
        <f t="shared" si="6"/>
        <v>912</v>
      </c>
      <c r="BG7">
        <f t="shared" si="6"/>
        <v>928</v>
      </c>
      <c r="BH7">
        <f t="shared" si="6"/>
        <v>944</v>
      </c>
      <c r="BI7">
        <f t="shared" si="6"/>
        <v>960</v>
      </c>
      <c r="BJ7">
        <f t="shared" si="6"/>
        <v>976</v>
      </c>
      <c r="BK7">
        <f t="shared" si="6"/>
        <v>992</v>
      </c>
      <c r="BL7">
        <f t="shared" si="6"/>
        <v>1008</v>
      </c>
      <c r="BM7">
        <f t="shared" si="6"/>
        <v>1024</v>
      </c>
      <c r="BN7">
        <f t="shared" si="6"/>
        <v>1040</v>
      </c>
      <c r="BO7">
        <f t="shared" si="6"/>
        <v>1056</v>
      </c>
      <c r="BP7">
        <f t="shared" si="6"/>
        <v>1072</v>
      </c>
      <c r="BQ7">
        <f t="shared" si="6"/>
        <v>1088</v>
      </c>
      <c r="BR7">
        <f t="shared" si="6"/>
        <v>1104</v>
      </c>
      <c r="BS7">
        <f t="shared" si="6"/>
        <v>1120</v>
      </c>
      <c r="BT7">
        <f t="shared" si="6"/>
        <v>1136</v>
      </c>
      <c r="BU7">
        <f t="shared" si="6"/>
        <v>1152</v>
      </c>
      <c r="BV7">
        <f t="shared" si="6"/>
        <v>1168</v>
      </c>
      <c r="BW7">
        <f t="shared" si="6"/>
        <v>1184</v>
      </c>
      <c r="BX7">
        <f t="shared" si="6"/>
        <v>1200</v>
      </c>
      <c r="BY7">
        <f t="shared" si="6"/>
        <v>1216</v>
      </c>
      <c r="BZ7">
        <f t="shared" si="6"/>
        <v>1232</v>
      </c>
      <c r="CA7">
        <f t="shared" si="6"/>
        <v>1248</v>
      </c>
      <c r="CB7">
        <f t="shared" si="6"/>
        <v>1264</v>
      </c>
      <c r="CC7">
        <f t="shared" si="6"/>
        <v>1280</v>
      </c>
      <c r="CD7">
        <f t="shared" si="6"/>
        <v>1296</v>
      </c>
      <c r="CE7">
        <f t="shared" si="6"/>
        <v>1312</v>
      </c>
      <c r="CF7">
        <f t="shared" si="6"/>
        <v>1328</v>
      </c>
      <c r="CG7">
        <f t="shared" si="6"/>
        <v>1344</v>
      </c>
      <c r="CH7">
        <f t="shared" si="6"/>
        <v>1360</v>
      </c>
      <c r="CI7">
        <f t="shared" si="6"/>
        <v>1376</v>
      </c>
      <c r="CJ7">
        <f t="shared" si="6"/>
        <v>1392</v>
      </c>
      <c r="CK7">
        <f t="shared" si="6"/>
        <v>1408</v>
      </c>
      <c r="CL7">
        <f t="shared" si="6"/>
        <v>1424</v>
      </c>
      <c r="CM7">
        <f t="shared" si="6"/>
        <v>1440</v>
      </c>
      <c r="CN7">
        <f t="shared" si="6"/>
        <v>1456</v>
      </c>
      <c r="CO7">
        <f t="shared" si="6"/>
        <v>1472</v>
      </c>
      <c r="CP7">
        <f t="shared" si="6"/>
        <v>1488</v>
      </c>
      <c r="CQ7">
        <f t="shared" si="6"/>
        <v>1504</v>
      </c>
      <c r="CR7">
        <f t="shared" si="6"/>
        <v>1520</v>
      </c>
      <c r="CS7">
        <f t="shared" si="6"/>
        <v>1536</v>
      </c>
      <c r="CT7">
        <f t="shared" si="6"/>
        <v>1552</v>
      </c>
      <c r="CU7">
        <f t="shared" si="6"/>
        <v>1568</v>
      </c>
      <c r="CV7">
        <f t="shared" si="6"/>
        <v>1584</v>
      </c>
      <c r="CW7">
        <v>1600</v>
      </c>
    </row>
    <row r="8" spans="1:101" x14ac:dyDescent="0.25">
      <c r="A8" t="str">
        <f t="shared" si="1"/>
        <v>characterRunSpeed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8" t="s">
        <v>55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f>BU8+0.25</f>
        <v>10.25</v>
      </c>
      <c r="BW8">
        <f t="shared" ref="BW8:CV8" si="7">BV8+0.25</f>
        <v>10.5</v>
      </c>
      <c r="BX8">
        <f t="shared" si="7"/>
        <v>10.75</v>
      </c>
      <c r="BY8">
        <f t="shared" si="7"/>
        <v>11</v>
      </c>
      <c r="BZ8">
        <f t="shared" si="7"/>
        <v>11.25</v>
      </c>
      <c r="CA8">
        <f t="shared" si="7"/>
        <v>11.5</v>
      </c>
      <c r="CB8">
        <f t="shared" si="7"/>
        <v>11.75</v>
      </c>
      <c r="CC8">
        <f t="shared" si="7"/>
        <v>12</v>
      </c>
      <c r="CD8">
        <f t="shared" si="7"/>
        <v>12.25</v>
      </c>
      <c r="CE8">
        <f t="shared" si="7"/>
        <v>12.5</v>
      </c>
      <c r="CF8">
        <f t="shared" si="7"/>
        <v>12.75</v>
      </c>
      <c r="CG8">
        <f t="shared" si="7"/>
        <v>13</v>
      </c>
      <c r="CH8">
        <f t="shared" si="7"/>
        <v>13.25</v>
      </c>
      <c r="CI8">
        <f t="shared" si="7"/>
        <v>13.5</v>
      </c>
      <c r="CJ8">
        <f t="shared" si="7"/>
        <v>13.75</v>
      </c>
      <c r="CK8">
        <f t="shared" si="7"/>
        <v>14</v>
      </c>
      <c r="CL8">
        <f t="shared" si="7"/>
        <v>14.25</v>
      </c>
      <c r="CM8">
        <f t="shared" si="7"/>
        <v>14.5</v>
      </c>
      <c r="CN8">
        <f t="shared" si="7"/>
        <v>14.75</v>
      </c>
      <c r="CO8">
        <f t="shared" si="7"/>
        <v>15</v>
      </c>
      <c r="CP8">
        <f t="shared" si="7"/>
        <v>15.25</v>
      </c>
      <c r="CQ8">
        <f t="shared" si="7"/>
        <v>15.5</v>
      </c>
      <c r="CR8">
        <f t="shared" si="7"/>
        <v>15.75</v>
      </c>
      <c r="CS8">
        <f t="shared" si="7"/>
        <v>16</v>
      </c>
      <c r="CT8">
        <f t="shared" si="7"/>
        <v>16.25</v>
      </c>
      <c r="CU8">
        <f t="shared" si="7"/>
        <v>16.5</v>
      </c>
      <c r="CV8">
        <f t="shared" si="7"/>
        <v>16.75</v>
      </c>
      <c r="CW8">
        <v>17</v>
      </c>
    </row>
    <row r="9" spans="1:101" x14ac:dyDescent="0.25">
      <c r="A9" t="str">
        <f t="shared" si="1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9" t="s">
        <v>56</v>
      </c>
      <c r="C9">
        <v>6</v>
      </c>
      <c r="D9">
        <v>9</v>
      </c>
      <c r="E9">
        <v>12</v>
      </c>
      <c r="F9">
        <v>15</v>
      </c>
      <c r="G9">
        <v>18</v>
      </c>
      <c r="H9">
        <v>21</v>
      </c>
      <c r="I9">
        <v>24</v>
      </c>
      <c r="J9">
        <v>27</v>
      </c>
      <c r="K9">
        <v>30</v>
      </c>
      <c r="L9">
        <v>33</v>
      </c>
      <c r="M9">
        <v>36</v>
      </c>
      <c r="N9">
        <v>39</v>
      </c>
      <c r="O9">
        <v>42</v>
      </c>
      <c r="P9">
        <v>45</v>
      </c>
      <c r="Q9">
        <v>48</v>
      </c>
      <c r="R9">
        <v>51</v>
      </c>
      <c r="S9">
        <v>54</v>
      </c>
      <c r="T9">
        <v>57</v>
      </c>
      <c r="U9">
        <v>60</v>
      </c>
      <c r="V9">
        <v>63</v>
      </c>
      <c r="W9">
        <v>66</v>
      </c>
      <c r="X9">
        <v>69</v>
      </c>
      <c r="Y9">
        <v>72</v>
      </c>
      <c r="Z9">
        <v>75</v>
      </c>
      <c r="AA9">
        <v>78</v>
      </c>
      <c r="AB9">
        <v>81</v>
      </c>
      <c r="AC9">
        <v>84</v>
      </c>
      <c r="AD9">
        <v>87</v>
      </c>
      <c r="AE9">
        <v>90</v>
      </c>
      <c r="AF9">
        <v>93</v>
      </c>
      <c r="AG9">
        <v>96</v>
      </c>
      <c r="AH9">
        <v>99</v>
      </c>
      <c r="AI9">
        <v>102</v>
      </c>
      <c r="AJ9">
        <v>105</v>
      </c>
      <c r="AK9">
        <v>108</v>
      </c>
      <c r="AL9">
        <v>111</v>
      </c>
      <c r="AM9">
        <v>114</v>
      </c>
      <c r="AN9">
        <v>117</v>
      </c>
      <c r="AO9">
        <v>120</v>
      </c>
      <c r="AP9">
        <v>123</v>
      </c>
      <c r="AQ9">
        <v>126</v>
      </c>
      <c r="AR9">
        <v>129</v>
      </c>
      <c r="AS9">
        <v>132</v>
      </c>
      <c r="AT9">
        <v>135</v>
      </c>
      <c r="AU9">
        <v>138</v>
      </c>
      <c r="AV9">
        <v>141</v>
      </c>
      <c r="AW9">
        <v>144</v>
      </c>
      <c r="AX9">
        <v>147</v>
      </c>
      <c r="AY9">
        <f>AX9+(AW9-AV9)</f>
        <v>150</v>
      </c>
      <c r="AZ9">
        <f t="shared" ref="AZ9:CW9" si="8">AY9+(AX9-AW9)</f>
        <v>153</v>
      </c>
      <c r="BA9">
        <f t="shared" si="8"/>
        <v>156</v>
      </c>
      <c r="BB9">
        <f t="shared" si="8"/>
        <v>159</v>
      </c>
      <c r="BC9">
        <f t="shared" si="8"/>
        <v>162</v>
      </c>
      <c r="BD9">
        <f t="shared" si="8"/>
        <v>165</v>
      </c>
      <c r="BE9">
        <f t="shared" si="8"/>
        <v>168</v>
      </c>
      <c r="BF9">
        <f t="shared" si="8"/>
        <v>171</v>
      </c>
      <c r="BG9">
        <f t="shared" si="8"/>
        <v>174</v>
      </c>
      <c r="BH9">
        <f t="shared" si="8"/>
        <v>177</v>
      </c>
      <c r="BI9">
        <f t="shared" si="8"/>
        <v>180</v>
      </c>
      <c r="BJ9">
        <f t="shared" si="8"/>
        <v>183</v>
      </c>
      <c r="BK9">
        <f t="shared" si="8"/>
        <v>186</v>
      </c>
      <c r="BL9">
        <f t="shared" si="8"/>
        <v>189</v>
      </c>
      <c r="BM9">
        <f t="shared" si="8"/>
        <v>192</v>
      </c>
      <c r="BN9">
        <f t="shared" si="8"/>
        <v>195</v>
      </c>
      <c r="BO9">
        <f t="shared" si="8"/>
        <v>198</v>
      </c>
      <c r="BP9">
        <f t="shared" si="8"/>
        <v>201</v>
      </c>
      <c r="BQ9">
        <f t="shared" si="8"/>
        <v>204</v>
      </c>
      <c r="BR9">
        <f t="shared" si="8"/>
        <v>207</v>
      </c>
      <c r="BS9">
        <f t="shared" si="8"/>
        <v>210</v>
      </c>
      <c r="BT9">
        <f t="shared" si="8"/>
        <v>213</v>
      </c>
      <c r="BU9">
        <f t="shared" si="8"/>
        <v>216</v>
      </c>
      <c r="BV9">
        <f t="shared" si="8"/>
        <v>219</v>
      </c>
      <c r="BW9">
        <f t="shared" si="8"/>
        <v>222</v>
      </c>
      <c r="BX9">
        <f t="shared" si="8"/>
        <v>225</v>
      </c>
      <c r="BY9">
        <f t="shared" si="8"/>
        <v>228</v>
      </c>
      <c r="BZ9">
        <f t="shared" si="8"/>
        <v>231</v>
      </c>
      <c r="CA9">
        <f t="shared" si="8"/>
        <v>234</v>
      </c>
      <c r="CB9">
        <f t="shared" si="8"/>
        <v>237</v>
      </c>
      <c r="CC9">
        <f t="shared" si="8"/>
        <v>240</v>
      </c>
      <c r="CD9">
        <f t="shared" si="8"/>
        <v>243</v>
      </c>
      <c r="CE9">
        <f t="shared" si="8"/>
        <v>246</v>
      </c>
      <c r="CF9">
        <f t="shared" si="8"/>
        <v>249</v>
      </c>
      <c r="CG9">
        <f t="shared" si="8"/>
        <v>252</v>
      </c>
      <c r="CH9">
        <f t="shared" si="8"/>
        <v>255</v>
      </c>
      <c r="CI9">
        <f t="shared" si="8"/>
        <v>258</v>
      </c>
      <c r="CJ9">
        <f t="shared" si="8"/>
        <v>261</v>
      </c>
      <c r="CK9">
        <f t="shared" si="8"/>
        <v>264</v>
      </c>
      <c r="CL9">
        <f t="shared" si="8"/>
        <v>267</v>
      </c>
      <c r="CM9">
        <f t="shared" si="8"/>
        <v>270</v>
      </c>
      <c r="CN9">
        <f t="shared" si="8"/>
        <v>273</v>
      </c>
      <c r="CO9">
        <f t="shared" si="8"/>
        <v>276</v>
      </c>
      <c r="CP9">
        <f t="shared" si="8"/>
        <v>279</v>
      </c>
      <c r="CQ9">
        <f t="shared" si="8"/>
        <v>282</v>
      </c>
      <c r="CR9">
        <f t="shared" si="8"/>
        <v>285</v>
      </c>
      <c r="CS9">
        <f t="shared" si="8"/>
        <v>288</v>
      </c>
      <c r="CT9">
        <f t="shared" si="8"/>
        <v>291</v>
      </c>
      <c r="CU9">
        <f t="shared" si="8"/>
        <v>294</v>
      </c>
      <c r="CV9">
        <f t="shared" si="8"/>
        <v>297</v>
      </c>
      <c r="CW9">
        <f t="shared" si="8"/>
        <v>300</v>
      </c>
    </row>
    <row r="10" spans="1:101" x14ac:dyDescent="0.25">
      <c r="A10" t="str">
        <f t="shared" si="1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f>BU10+0.25</f>
        <v>10.25</v>
      </c>
      <c r="BW10">
        <f t="shared" ref="BW10:CV10" si="9">BV10+0.25</f>
        <v>10.5</v>
      </c>
      <c r="BX10">
        <f t="shared" si="9"/>
        <v>10.75</v>
      </c>
      <c r="BY10">
        <f t="shared" si="9"/>
        <v>11</v>
      </c>
      <c r="BZ10">
        <f t="shared" si="9"/>
        <v>11.25</v>
      </c>
      <c r="CA10">
        <f t="shared" si="9"/>
        <v>11.5</v>
      </c>
      <c r="CB10">
        <f t="shared" si="9"/>
        <v>11.75</v>
      </c>
      <c r="CC10">
        <f t="shared" si="9"/>
        <v>12</v>
      </c>
      <c r="CD10">
        <f t="shared" si="9"/>
        <v>12.25</v>
      </c>
      <c r="CE10">
        <f t="shared" si="9"/>
        <v>12.5</v>
      </c>
      <c r="CF10">
        <f t="shared" si="9"/>
        <v>12.75</v>
      </c>
      <c r="CG10">
        <f t="shared" si="9"/>
        <v>13</v>
      </c>
      <c r="CH10">
        <f t="shared" si="9"/>
        <v>13.25</v>
      </c>
      <c r="CI10">
        <f t="shared" si="9"/>
        <v>13.5</v>
      </c>
      <c r="CJ10">
        <f t="shared" si="9"/>
        <v>13.75</v>
      </c>
      <c r="CK10">
        <f t="shared" si="9"/>
        <v>14</v>
      </c>
      <c r="CL10">
        <f t="shared" si="9"/>
        <v>14.25</v>
      </c>
      <c r="CM10">
        <f t="shared" si="9"/>
        <v>14.5</v>
      </c>
      <c r="CN10">
        <f t="shared" si="9"/>
        <v>14.75</v>
      </c>
      <c r="CO10">
        <f t="shared" si="9"/>
        <v>15</v>
      </c>
      <c r="CP10">
        <f t="shared" si="9"/>
        <v>15.25</v>
      </c>
      <c r="CQ10">
        <f t="shared" si="9"/>
        <v>15.5</v>
      </c>
      <c r="CR10">
        <f t="shared" si="9"/>
        <v>15.75</v>
      </c>
      <c r="CS10">
        <f t="shared" si="9"/>
        <v>16</v>
      </c>
      <c r="CT10">
        <f t="shared" si="9"/>
        <v>16.25</v>
      </c>
      <c r="CU10">
        <f t="shared" si="9"/>
        <v>16.5</v>
      </c>
      <c r="CV10">
        <f t="shared" si="9"/>
        <v>16.75</v>
      </c>
      <c r="CW10">
        <v>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V11"/>
  <sheetViews>
    <sheetView topLeftCell="BG1" workbookViewId="0">
      <selection activeCell="A11" sqref="A1:CV11"/>
    </sheetView>
  </sheetViews>
  <sheetFormatPr defaultRowHeight="15" x14ac:dyDescent="0.25"/>
  <cols>
    <col min="1" max="1" width="57" bestFit="1" customWidth="1"/>
    <col min="2" max="4" width="3" bestFit="1" customWidth="1"/>
    <col min="5" max="41" width="4" bestFit="1" customWidth="1"/>
    <col min="42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6" bestFit="1" customWidth="1"/>
    <col min="77" max="77" width="7" bestFit="1" customWidth="1"/>
    <col min="78" max="78" width="6" bestFit="1" customWidth="1"/>
    <col min="79" max="79" width="7" bestFit="1" customWidth="1"/>
    <col min="80" max="80" width="6" bestFit="1" customWidth="1"/>
    <col min="81" max="81" width="7" bestFit="1" customWidth="1"/>
    <col min="82" max="82" width="6" bestFit="1" customWidth="1"/>
    <col min="83" max="83" width="7" bestFit="1" customWidth="1"/>
    <col min="84" max="84" width="6" bestFit="1" customWidth="1"/>
    <col min="85" max="85" width="7" bestFit="1" customWidth="1"/>
    <col min="86" max="86" width="6" bestFit="1" customWidth="1"/>
    <col min="87" max="87" width="7" bestFit="1" customWidth="1"/>
    <col min="88" max="88" width="6" bestFit="1" customWidth="1"/>
    <col min="89" max="89" width="7" bestFit="1" customWidth="1"/>
    <col min="90" max="90" width="6" bestFit="1" customWidth="1"/>
    <col min="91" max="91" width="7" bestFit="1" customWidth="1"/>
    <col min="92" max="92" width="6" bestFit="1" customWidth="1"/>
    <col min="93" max="93" width="7" bestFit="1" customWidth="1"/>
    <col min="94" max="94" width="6" bestFit="1" customWidth="1"/>
    <col min="95" max="95" width="7" bestFit="1" customWidth="1"/>
    <col min="96" max="96" width="6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  <col min="101" max="101" width="4" bestFit="1" customWidth="1"/>
  </cols>
  <sheetData>
    <row r="1" spans="1:100" x14ac:dyDescent="0.25">
      <c r="A1" t="s">
        <v>48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1.5</v>
      </c>
      <c r="AZ1">
        <v>3</v>
      </c>
      <c r="BA1">
        <v>4.5</v>
      </c>
      <c r="BB1">
        <v>6</v>
      </c>
      <c r="BC1">
        <v>7.5</v>
      </c>
      <c r="BD1">
        <v>9</v>
      </c>
      <c r="BE1">
        <v>10.5</v>
      </c>
      <c r="BF1">
        <v>12</v>
      </c>
      <c r="BG1">
        <v>13.5</v>
      </c>
      <c r="BH1">
        <v>15</v>
      </c>
      <c r="BI1">
        <v>16.5</v>
      </c>
      <c r="BJ1">
        <v>18</v>
      </c>
      <c r="BK1">
        <v>19.5</v>
      </c>
      <c r="BL1">
        <v>21</v>
      </c>
      <c r="BM1">
        <v>22.5</v>
      </c>
      <c r="BN1">
        <v>24</v>
      </c>
      <c r="BO1">
        <v>25.5</v>
      </c>
      <c r="BP1">
        <v>27</v>
      </c>
      <c r="BQ1">
        <v>27</v>
      </c>
      <c r="BR1">
        <v>28.5</v>
      </c>
      <c r="BS1">
        <v>28.5</v>
      </c>
      <c r="BT1">
        <v>30</v>
      </c>
      <c r="BU1">
        <f>BT1+0.25</f>
        <v>30.25</v>
      </c>
      <c r="BV1">
        <f t="shared" ref="BV1:CU1" si="0">BU1+0.25</f>
        <v>30.5</v>
      </c>
      <c r="BW1">
        <f t="shared" si="0"/>
        <v>30.75</v>
      </c>
      <c r="BX1">
        <f t="shared" si="0"/>
        <v>31</v>
      </c>
      <c r="BY1">
        <f t="shared" si="0"/>
        <v>31.25</v>
      </c>
      <c r="BZ1">
        <f t="shared" si="0"/>
        <v>31.5</v>
      </c>
      <c r="CA1">
        <f t="shared" si="0"/>
        <v>31.75</v>
      </c>
      <c r="CB1">
        <f t="shared" si="0"/>
        <v>32</v>
      </c>
      <c r="CC1">
        <f t="shared" si="0"/>
        <v>32.25</v>
      </c>
      <c r="CD1">
        <f t="shared" si="0"/>
        <v>32.5</v>
      </c>
      <c r="CE1">
        <f t="shared" si="0"/>
        <v>32.75</v>
      </c>
      <c r="CF1">
        <f t="shared" si="0"/>
        <v>33</v>
      </c>
      <c r="CG1">
        <f t="shared" si="0"/>
        <v>33.25</v>
      </c>
      <c r="CH1">
        <f t="shared" si="0"/>
        <v>33.5</v>
      </c>
      <c r="CI1">
        <f t="shared" si="0"/>
        <v>33.75</v>
      </c>
      <c r="CJ1">
        <f t="shared" si="0"/>
        <v>34</v>
      </c>
      <c r="CK1">
        <f t="shared" si="0"/>
        <v>34.25</v>
      </c>
      <c r="CL1">
        <f t="shared" si="0"/>
        <v>34.5</v>
      </c>
      <c r="CM1">
        <f t="shared" si="0"/>
        <v>34.75</v>
      </c>
      <c r="CN1">
        <f t="shared" si="0"/>
        <v>35</v>
      </c>
      <c r="CO1">
        <f t="shared" si="0"/>
        <v>35.25</v>
      </c>
      <c r="CP1">
        <f t="shared" si="0"/>
        <v>35.5</v>
      </c>
      <c r="CQ1">
        <f t="shared" si="0"/>
        <v>35.75</v>
      </c>
      <c r="CR1">
        <f t="shared" si="0"/>
        <v>36</v>
      </c>
      <c r="CS1">
        <f t="shared" si="0"/>
        <v>36.25</v>
      </c>
      <c r="CT1">
        <f t="shared" si="0"/>
        <v>36.5</v>
      </c>
      <c r="CU1">
        <f t="shared" si="0"/>
        <v>36.75</v>
      </c>
      <c r="CV1" t="s">
        <v>90</v>
      </c>
    </row>
    <row r="2" spans="1:100" x14ac:dyDescent="0.25">
      <c r="A2" t="s">
        <v>71</v>
      </c>
      <c r="B2">
        <v>8</v>
      </c>
      <c r="C2">
        <v>12</v>
      </c>
      <c r="D2">
        <v>16</v>
      </c>
      <c r="E2">
        <v>20</v>
      </c>
      <c r="F2">
        <v>24</v>
      </c>
      <c r="G2">
        <v>28</v>
      </c>
      <c r="H2">
        <v>32</v>
      </c>
      <c r="I2">
        <v>36</v>
      </c>
      <c r="J2">
        <v>40</v>
      </c>
      <c r="K2">
        <v>44</v>
      </c>
      <c r="L2">
        <v>48</v>
      </c>
      <c r="M2">
        <v>52</v>
      </c>
      <c r="N2">
        <v>56</v>
      </c>
      <c r="O2">
        <v>60</v>
      </c>
      <c r="P2">
        <v>64</v>
      </c>
      <c r="Q2">
        <v>68</v>
      </c>
      <c r="R2">
        <v>72</v>
      </c>
      <c r="S2">
        <v>76</v>
      </c>
      <c r="T2">
        <v>80</v>
      </c>
      <c r="U2">
        <v>84</v>
      </c>
      <c r="V2">
        <v>88</v>
      </c>
      <c r="W2">
        <v>92</v>
      </c>
      <c r="X2">
        <v>96</v>
      </c>
      <c r="Y2">
        <v>100</v>
      </c>
      <c r="Z2">
        <v>104</v>
      </c>
      <c r="AA2">
        <v>108</v>
      </c>
      <c r="AB2">
        <v>112</v>
      </c>
      <c r="AC2">
        <v>116</v>
      </c>
      <c r="AD2">
        <v>120</v>
      </c>
      <c r="AE2">
        <v>124</v>
      </c>
      <c r="AF2">
        <v>128</v>
      </c>
      <c r="AG2">
        <v>132</v>
      </c>
      <c r="AH2">
        <v>136</v>
      </c>
      <c r="AI2">
        <v>140</v>
      </c>
      <c r="AJ2">
        <v>144</v>
      </c>
      <c r="AK2">
        <v>148</v>
      </c>
      <c r="AL2">
        <v>152</v>
      </c>
      <c r="AM2">
        <v>156</v>
      </c>
      <c r="AN2">
        <v>160</v>
      </c>
      <c r="AO2">
        <v>164</v>
      </c>
      <c r="AP2">
        <v>168</v>
      </c>
      <c r="AQ2">
        <v>172</v>
      </c>
      <c r="AR2">
        <v>176</v>
      </c>
      <c r="AS2">
        <v>180</v>
      </c>
      <c r="AT2">
        <v>184</v>
      </c>
      <c r="AU2">
        <v>188</v>
      </c>
      <c r="AV2">
        <v>192</v>
      </c>
      <c r="AW2">
        <v>196</v>
      </c>
      <c r="AX2">
        <v>200</v>
      </c>
      <c r="AY2">
        <v>204</v>
      </c>
      <c r="AZ2">
        <v>208</v>
      </c>
      <c r="BA2">
        <v>212</v>
      </c>
      <c r="BB2">
        <v>216</v>
      </c>
      <c r="BC2">
        <v>220</v>
      </c>
      <c r="BD2">
        <v>224</v>
      </c>
      <c r="BE2">
        <v>228</v>
      </c>
      <c r="BF2">
        <v>232</v>
      </c>
      <c r="BG2">
        <v>236</v>
      </c>
      <c r="BH2">
        <v>240</v>
      </c>
      <c r="BI2">
        <v>244</v>
      </c>
      <c r="BJ2">
        <v>248</v>
      </c>
      <c r="BK2">
        <v>252</v>
      </c>
      <c r="BL2">
        <v>256</v>
      </c>
      <c r="BM2">
        <v>260</v>
      </c>
      <c r="BN2">
        <v>264</v>
      </c>
      <c r="BO2">
        <v>268</v>
      </c>
      <c r="BP2">
        <v>272</v>
      </c>
      <c r="BQ2">
        <v>276</v>
      </c>
      <c r="BR2">
        <v>280</v>
      </c>
      <c r="BS2">
        <v>284</v>
      </c>
      <c r="BT2">
        <v>288</v>
      </c>
      <c r="BU2">
        <v>292</v>
      </c>
      <c r="BV2">
        <v>296</v>
      </c>
      <c r="BW2">
        <v>300</v>
      </c>
      <c r="BX2">
        <v>304</v>
      </c>
      <c r="BY2">
        <v>308</v>
      </c>
      <c r="BZ2">
        <v>312</v>
      </c>
      <c r="CA2">
        <v>316</v>
      </c>
      <c r="CB2">
        <v>320</v>
      </c>
      <c r="CC2">
        <v>324</v>
      </c>
      <c r="CD2">
        <v>328</v>
      </c>
      <c r="CE2">
        <v>332</v>
      </c>
      <c r="CF2">
        <v>336</v>
      </c>
      <c r="CG2">
        <v>340</v>
      </c>
      <c r="CH2">
        <v>344</v>
      </c>
      <c r="CI2">
        <v>348</v>
      </c>
      <c r="CJ2">
        <v>352</v>
      </c>
      <c r="CK2">
        <v>356</v>
      </c>
      <c r="CL2">
        <v>360</v>
      </c>
      <c r="CM2">
        <v>364</v>
      </c>
      <c r="CN2">
        <v>368</v>
      </c>
      <c r="CO2">
        <v>372</v>
      </c>
      <c r="CP2">
        <v>376</v>
      </c>
      <c r="CQ2">
        <v>380</v>
      </c>
      <c r="CR2">
        <v>384</v>
      </c>
      <c r="CS2">
        <v>388</v>
      </c>
      <c r="CT2">
        <v>392</v>
      </c>
      <c r="CU2">
        <v>396</v>
      </c>
      <c r="CV2" t="s">
        <v>4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1.25</v>
      </c>
      <c r="AZ3">
        <v>2.5</v>
      </c>
      <c r="BA3">
        <v>3.75</v>
      </c>
      <c r="BB3">
        <v>5</v>
      </c>
      <c r="BC3">
        <v>6.25</v>
      </c>
      <c r="BD3">
        <v>7.5</v>
      </c>
      <c r="BE3">
        <v>8.75</v>
      </c>
      <c r="BF3">
        <v>10</v>
      </c>
      <c r="BG3">
        <v>11.25</v>
      </c>
      <c r="BH3">
        <v>12.5</v>
      </c>
      <c r="BI3">
        <v>13.75</v>
      </c>
      <c r="BJ3">
        <v>15</v>
      </c>
      <c r="BK3">
        <v>16.25</v>
      </c>
      <c r="BL3">
        <v>17.5</v>
      </c>
      <c r="BM3">
        <v>18.75</v>
      </c>
      <c r="BN3">
        <v>20</v>
      </c>
      <c r="BO3">
        <v>21.25</v>
      </c>
      <c r="BP3">
        <v>22.5</v>
      </c>
      <c r="BQ3">
        <v>22.5</v>
      </c>
      <c r="BR3">
        <v>23.75</v>
      </c>
      <c r="BS3">
        <v>23.75</v>
      </c>
      <c r="BT3">
        <v>25</v>
      </c>
      <c r="BU3">
        <f>BT3+0.125</f>
        <v>25.125</v>
      </c>
      <c r="BV3">
        <f t="shared" ref="BV3:CU3" si="1">BU3+0.125</f>
        <v>25.25</v>
      </c>
      <c r="BW3">
        <f t="shared" si="1"/>
        <v>25.375</v>
      </c>
      <c r="BX3">
        <f t="shared" si="1"/>
        <v>25.5</v>
      </c>
      <c r="BY3">
        <f t="shared" si="1"/>
        <v>25.625</v>
      </c>
      <c r="BZ3">
        <f t="shared" si="1"/>
        <v>25.75</v>
      </c>
      <c r="CA3">
        <f t="shared" si="1"/>
        <v>25.875</v>
      </c>
      <c r="CB3">
        <f t="shared" si="1"/>
        <v>26</v>
      </c>
      <c r="CC3">
        <f t="shared" si="1"/>
        <v>26.125</v>
      </c>
      <c r="CD3">
        <f t="shared" si="1"/>
        <v>26.25</v>
      </c>
      <c r="CE3">
        <f t="shared" si="1"/>
        <v>26.375</v>
      </c>
      <c r="CF3">
        <f t="shared" si="1"/>
        <v>26.5</v>
      </c>
      <c r="CG3">
        <f t="shared" si="1"/>
        <v>26.625</v>
      </c>
      <c r="CH3">
        <f t="shared" si="1"/>
        <v>26.75</v>
      </c>
      <c r="CI3">
        <f t="shared" si="1"/>
        <v>26.875</v>
      </c>
      <c r="CJ3">
        <f t="shared" si="1"/>
        <v>27</v>
      </c>
      <c r="CK3">
        <f t="shared" si="1"/>
        <v>27.125</v>
      </c>
      <c r="CL3">
        <f t="shared" si="1"/>
        <v>27.25</v>
      </c>
      <c r="CM3">
        <f t="shared" si="1"/>
        <v>27.375</v>
      </c>
      <c r="CN3">
        <f t="shared" si="1"/>
        <v>27.5</v>
      </c>
      <c r="CO3">
        <f t="shared" si="1"/>
        <v>27.625</v>
      </c>
      <c r="CP3">
        <f t="shared" si="1"/>
        <v>27.75</v>
      </c>
      <c r="CQ3">
        <f t="shared" si="1"/>
        <v>27.875</v>
      </c>
      <c r="CR3">
        <f t="shared" si="1"/>
        <v>28</v>
      </c>
      <c r="CS3">
        <f t="shared" si="1"/>
        <v>28.125</v>
      </c>
      <c r="CT3">
        <f t="shared" si="1"/>
        <v>28.25</v>
      </c>
      <c r="CU3">
        <f t="shared" si="1"/>
        <v>28.375</v>
      </c>
      <c r="CV3" t="s">
        <v>70</v>
      </c>
    </row>
    <row r="4" spans="1:100" x14ac:dyDescent="0.25">
      <c r="A4" t="s">
        <v>51</v>
      </c>
      <c r="B4">
        <v>5</v>
      </c>
      <c r="C4">
        <v>8</v>
      </c>
      <c r="D4">
        <v>10</v>
      </c>
      <c r="E4">
        <v>13</v>
      </c>
      <c r="F4">
        <v>15</v>
      </c>
      <c r="G4">
        <v>18</v>
      </c>
      <c r="H4">
        <v>20</v>
      </c>
      <c r="I4">
        <v>23</v>
      </c>
      <c r="J4">
        <v>25</v>
      </c>
      <c r="K4">
        <v>28</v>
      </c>
      <c r="L4">
        <v>30</v>
      </c>
      <c r="M4">
        <v>33</v>
      </c>
      <c r="N4">
        <v>35</v>
      </c>
      <c r="O4">
        <v>38</v>
      </c>
      <c r="P4">
        <v>40</v>
      </c>
      <c r="Q4">
        <v>43</v>
      </c>
      <c r="R4">
        <v>45</v>
      </c>
      <c r="S4">
        <v>48</v>
      </c>
      <c r="T4">
        <v>50</v>
      </c>
      <c r="U4">
        <v>53</v>
      </c>
      <c r="V4">
        <v>55</v>
      </c>
      <c r="W4">
        <v>58</v>
      </c>
      <c r="X4">
        <v>60</v>
      </c>
      <c r="Y4">
        <v>63</v>
      </c>
      <c r="Z4">
        <v>65</v>
      </c>
      <c r="AA4">
        <v>68</v>
      </c>
      <c r="AB4">
        <v>70</v>
      </c>
      <c r="AC4">
        <v>73</v>
      </c>
      <c r="AD4">
        <v>75</v>
      </c>
      <c r="AE4">
        <v>78</v>
      </c>
      <c r="AF4">
        <v>80</v>
      </c>
      <c r="AG4">
        <v>83</v>
      </c>
      <c r="AH4">
        <v>85</v>
      </c>
      <c r="AI4">
        <v>88</v>
      </c>
      <c r="AJ4">
        <v>90</v>
      </c>
      <c r="AK4">
        <v>93</v>
      </c>
      <c r="AL4">
        <v>95</v>
      </c>
      <c r="AM4">
        <v>98</v>
      </c>
      <c r="AN4">
        <v>100</v>
      </c>
      <c r="AO4">
        <v>103</v>
      </c>
      <c r="AP4">
        <v>105</v>
      </c>
      <c r="AQ4">
        <v>108</v>
      </c>
      <c r="AR4">
        <v>110</v>
      </c>
      <c r="AS4">
        <v>113</v>
      </c>
      <c r="AT4">
        <v>115</v>
      </c>
      <c r="AU4">
        <v>118</v>
      </c>
      <c r="AV4">
        <v>120</v>
      </c>
      <c r="AW4">
        <v>123</v>
      </c>
      <c r="AX4">
        <v>125</v>
      </c>
      <c r="AY4">
        <v>128</v>
      </c>
      <c r="AZ4">
        <v>130</v>
      </c>
      <c r="BA4">
        <v>133</v>
      </c>
      <c r="BB4">
        <v>135</v>
      </c>
      <c r="BC4">
        <v>138</v>
      </c>
      <c r="BD4">
        <v>140</v>
      </c>
      <c r="BE4">
        <v>143</v>
      </c>
      <c r="BF4">
        <v>145</v>
      </c>
      <c r="BG4">
        <v>148</v>
      </c>
      <c r="BH4">
        <v>150</v>
      </c>
      <c r="BI4">
        <v>153</v>
      </c>
      <c r="BJ4">
        <v>155</v>
      </c>
      <c r="BK4">
        <v>158</v>
      </c>
      <c r="BL4">
        <v>160</v>
      </c>
      <c r="BM4">
        <v>163</v>
      </c>
      <c r="BN4">
        <v>165</v>
      </c>
      <c r="BO4">
        <v>168</v>
      </c>
      <c r="BP4">
        <v>170</v>
      </c>
      <c r="BQ4">
        <v>173</v>
      </c>
      <c r="BR4">
        <v>175</v>
      </c>
      <c r="BS4">
        <v>178</v>
      </c>
      <c r="BT4">
        <v>180</v>
      </c>
      <c r="BU4">
        <v>183</v>
      </c>
      <c r="BV4">
        <v>185</v>
      </c>
      <c r="BW4">
        <v>188</v>
      </c>
      <c r="BX4">
        <v>190</v>
      </c>
      <c r="BY4">
        <v>193</v>
      </c>
      <c r="BZ4">
        <v>195</v>
      </c>
      <c r="CA4">
        <v>198</v>
      </c>
      <c r="CB4">
        <v>200</v>
      </c>
      <c r="CC4">
        <v>203</v>
      </c>
      <c r="CD4">
        <v>205</v>
      </c>
      <c r="CE4">
        <v>208</v>
      </c>
      <c r="CF4">
        <v>210</v>
      </c>
      <c r="CG4">
        <v>213</v>
      </c>
      <c r="CH4">
        <v>215</v>
      </c>
      <c r="CI4">
        <v>218</v>
      </c>
      <c r="CJ4">
        <v>220</v>
      </c>
      <c r="CK4">
        <v>223</v>
      </c>
      <c r="CL4">
        <v>225</v>
      </c>
      <c r="CM4">
        <v>228</v>
      </c>
      <c r="CN4">
        <v>230</v>
      </c>
      <c r="CO4">
        <v>233</v>
      </c>
      <c r="CP4">
        <v>235</v>
      </c>
      <c r="CQ4">
        <v>238</v>
      </c>
      <c r="CR4">
        <v>240</v>
      </c>
      <c r="CS4">
        <v>243</v>
      </c>
      <c r="CT4">
        <v>245</v>
      </c>
      <c r="CU4">
        <v>248</v>
      </c>
      <c r="CV4" t="s">
        <v>50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0.5</v>
      </c>
      <c r="AZ5">
        <v>1</v>
      </c>
      <c r="BA5">
        <v>1.5</v>
      </c>
      <c r="BB5">
        <v>2</v>
      </c>
      <c r="BC5">
        <v>2.5</v>
      </c>
      <c r="BD5">
        <v>3</v>
      </c>
      <c r="BE5">
        <v>3.5</v>
      </c>
      <c r="BF5">
        <v>4</v>
      </c>
      <c r="BG5">
        <v>4.5</v>
      </c>
      <c r="BH5">
        <v>5</v>
      </c>
      <c r="BI5">
        <v>5.5</v>
      </c>
      <c r="BJ5">
        <v>6</v>
      </c>
      <c r="BK5">
        <v>6.5</v>
      </c>
      <c r="BL5">
        <v>7</v>
      </c>
      <c r="BM5">
        <v>7.5</v>
      </c>
      <c r="BN5">
        <v>8</v>
      </c>
      <c r="BO5">
        <v>8.5</v>
      </c>
      <c r="BP5">
        <v>9</v>
      </c>
      <c r="BQ5">
        <v>9</v>
      </c>
      <c r="BR5">
        <v>9.5</v>
      </c>
      <c r="BS5">
        <v>9.5</v>
      </c>
      <c r="BT5">
        <v>10</v>
      </c>
      <c r="BU5">
        <f>BT5+0.25</f>
        <v>10.25</v>
      </c>
      <c r="BV5">
        <f t="shared" ref="BV5:CU5" si="2">BU5+0.25</f>
        <v>10.5</v>
      </c>
      <c r="BW5">
        <f t="shared" si="2"/>
        <v>10.75</v>
      </c>
      <c r="BX5">
        <f t="shared" si="2"/>
        <v>11</v>
      </c>
      <c r="BY5">
        <f t="shared" si="2"/>
        <v>11.25</v>
      </c>
      <c r="BZ5">
        <f t="shared" si="2"/>
        <v>11.5</v>
      </c>
      <c r="CA5">
        <f t="shared" si="2"/>
        <v>11.75</v>
      </c>
      <c r="CB5">
        <f t="shared" si="2"/>
        <v>12</v>
      </c>
      <c r="CC5">
        <f t="shared" si="2"/>
        <v>12.25</v>
      </c>
      <c r="CD5">
        <f t="shared" si="2"/>
        <v>12.5</v>
      </c>
      <c r="CE5">
        <f t="shared" si="2"/>
        <v>12.75</v>
      </c>
      <c r="CF5">
        <f t="shared" si="2"/>
        <v>13</v>
      </c>
      <c r="CG5">
        <f t="shared" si="2"/>
        <v>13.25</v>
      </c>
      <c r="CH5">
        <f t="shared" si="2"/>
        <v>13.5</v>
      </c>
      <c r="CI5">
        <f t="shared" si="2"/>
        <v>13.75</v>
      </c>
      <c r="CJ5">
        <f t="shared" si="2"/>
        <v>14</v>
      </c>
      <c r="CK5">
        <f t="shared" si="2"/>
        <v>14.25</v>
      </c>
      <c r="CL5">
        <f t="shared" si="2"/>
        <v>14.5</v>
      </c>
      <c r="CM5">
        <f t="shared" si="2"/>
        <v>14.75</v>
      </c>
      <c r="CN5">
        <f t="shared" si="2"/>
        <v>15</v>
      </c>
      <c r="CO5">
        <f t="shared" si="2"/>
        <v>15.25</v>
      </c>
      <c r="CP5">
        <f t="shared" si="2"/>
        <v>15.5</v>
      </c>
      <c r="CQ5">
        <f t="shared" si="2"/>
        <v>15.75</v>
      </c>
      <c r="CR5">
        <f t="shared" si="2"/>
        <v>16</v>
      </c>
      <c r="CS5">
        <f t="shared" si="2"/>
        <v>16.25</v>
      </c>
      <c r="CT5">
        <f t="shared" si="2"/>
        <v>16.5</v>
      </c>
      <c r="CU5">
        <f t="shared" si="2"/>
        <v>16.75</v>
      </c>
      <c r="CV5" t="s">
        <v>57</v>
      </c>
    </row>
    <row r="6" spans="1:100" x14ac:dyDescent="0.25">
      <c r="A6" t="s">
        <v>53</v>
      </c>
      <c r="B6">
        <v>46</v>
      </c>
      <c r="C6">
        <v>70</v>
      </c>
      <c r="D6">
        <v>94</v>
      </c>
      <c r="E6">
        <v>118</v>
      </c>
      <c r="F6">
        <v>142</v>
      </c>
      <c r="G6">
        <v>166</v>
      </c>
      <c r="H6">
        <v>190</v>
      </c>
      <c r="I6">
        <v>214</v>
      </c>
      <c r="J6">
        <v>238</v>
      </c>
      <c r="K6">
        <v>262</v>
      </c>
      <c r="L6">
        <v>286</v>
      </c>
      <c r="M6">
        <v>310</v>
      </c>
      <c r="N6">
        <v>334</v>
      </c>
      <c r="O6">
        <v>358</v>
      </c>
      <c r="P6">
        <v>382</v>
      </c>
      <c r="Q6">
        <v>406</v>
      </c>
      <c r="R6">
        <v>430</v>
      </c>
      <c r="S6">
        <v>454</v>
      </c>
      <c r="T6">
        <v>478</v>
      </c>
      <c r="U6">
        <v>502</v>
      </c>
      <c r="V6">
        <v>526</v>
      </c>
      <c r="W6">
        <v>550</v>
      </c>
      <c r="X6">
        <v>574</v>
      </c>
      <c r="Y6">
        <v>598</v>
      </c>
      <c r="Z6">
        <v>622</v>
      </c>
      <c r="AA6">
        <v>646</v>
      </c>
      <c r="AB6">
        <v>670</v>
      </c>
      <c r="AC6">
        <v>694</v>
      </c>
      <c r="AD6">
        <v>718</v>
      </c>
      <c r="AE6">
        <v>742</v>
      </c>
      <c r="AF6">
        <v>766</v>
      </c>
      <c r="AG6">
        <v>790</v>
      </c>
      <c r="AH6">
        <v>814</v>
      </c>
      <c r="AI6">
        <v>838</v>
      </c>
      <c r="AJ6">
        <v>862</v>
      </c>
      <c r="AK6">
        <v>886</v>
      </c>
      <c r="AL6">
        <v>910</v>
      </c>
      <c r="AM6">
        <v>934</v>
      </c>
      <c r="AN6">
        <v>958</v>
      </c>
      <c r="AO6">
        <v>982</v>
      </c>
      <c r="AP6">
        <v>1006</v>
      </c>
      <c r="AQ6">
        <v>1030</v>
      </c>
      <c r="AR6">
        <v>1054</v>
      </c>
      <c r="AS6">
        <v>1078</v>
      </c>
      <c r="AT6">
        <v>1102</v>
      </c>
      <c r="AU6">
        <v>1126</v>
      </c>
      <c r="AV6">
        <v>1150</v>
      </c>
      <c r="AW6">
        <v>1174</v>
      </c>
      <c r="AX6">
        <v>1198</v>
      </c>
      <c r="AY6">
        <v>1222</v>
      </c>
      <c r="AZ6">
        <v>1246</v>
      </c>
      <c r="BA6">
        <v>1270</v>
      </c>
      <c r="BB6">
        <v>1294</v>
      </c>
      <c r="BC6">
        <v>1318</v>
      </c>
      <c r="BD6">
        <v>1342</v>
      </c>
      <c r="BE6">
        <v>1366</v>
      </c>
      <c r="BF6">
        <v>1390</v>
      </c>
      <c r="BG6">
        <v>1414</v>
      </c>
      <c r="BH6">
        <v>1438</v>
      </c>
      <c r="BI6">
        <v>1462</v>
      </c>
      <c r="BJ6">
        <v>1486</v>
      </c>
      <c r="BK6">
        <v>1510</v>
      </c>
      <c r="BL6">
        <v>1534</v>
      </c>
      <c r="BM6">
        <v>1558</v>
      </c>
      <c r="BN6">
        <v>1582</v>
      </c>
      <c r="BO6">
        <v>1606</v>
      </c>
      <c r="BP6">
        <v>1630</v>
      </c>
      <c r="BQ6">
        <v>1654</v>
      </c>
      <c r="BR6">
        <v>1678</v>
      </c>
      <c r="BS6">
        <v>1702</v>
      </c>
      <c r="BT6">
        <v>1726</v>
      </c>
      <c r="BU6">
        <v>1750</v>
      </c>
      <c r="BV6">
        <v>1774</v>
      </c>
      <c r="BW6">
        <v>1798</v>
      </c>
      <c r="BX6">
        <v>1822</v>
      </c>
      <c r="BY6">
        <v>1846</v>
      </c>
      <c r="BZ6">
        <v>1870</v>
      </c>
      <c r="CA6">
        <v>1894</v>
      </c>
      <c r="CB6">
        <v>1918</v>
      </c>
      <c r="CC6">
        <v>1942</v>
      </c>
      <c r="CD6">
        <v>1966</v>
      </c>
      <c r="CE6">
        <v>1990</v>
      </c>
      <c r="CF6">
        <v>2014</v>
      </c>
      <c r="CG6">
        <v>2038</v>
      </c>
      <c r="CH6">
        <v>2062</v>
      </c>
      <c r="CI6">
        <v>2086</v>
      </c>
      <c r="CJ6">
        <v>2110</v>
      </c>
      <c r="CK6">
        <v>2134</v>
      </c>
      <c r="CL6">
        <v>2158</v>
      </c>
      <c r="CM6">
        <v>2182</v>
      </c>
      <c r="CN6">
        <v>2206</v>
      </c>
      <c r="CO6">
        <v>2230</v>
      </c>
      <c r="CP6">
        <v>2254</v>
      </c>
      <c r="CQ6">
        <v>2278</v>
      </c>
      <c r="CR6">
        <v>2302</v>
      </c>
      <c r="CS6">
        <v>2326</v>
      </c>
      <c r="CT6">
        <v>2350</v>
      </c>
      <c r="CU6">
        <v>2374</v>
      </c>
      <c r="CV6" t="s">
        <v>74</v>
      </c>
    </row>
    <row r="7" spans="1:100" x14ac:dyDescent="0.25">
      <c r="A7" t="s">
        <v>88</v>
      </c>
      <c r="B7">
        <v>26</v>
      </c>
      <c r="C7">
        <v>39</v>
      </c>
      <c r="D7">
        <v>52</v>
      </c>
      <c r="E7">
        <v>65</v>
      </c>
      <c r="F7">
        <v>78</v>
      </c>
      <c r="G7">
        <v>91</v>
      </c>
      <c r="H7">
        <v>104</v>
      </c>
      <c r="I7">
        <v>117</v>
      </c>
      <c r="J7">
        <v>130</v>
      </c>
      <c r="K7">
        <v>143</v>
      </c>
      <c r="L7">
        <v>156</v>
      </c>
      <c r="M7">
        <v>169</v>
      </c>
      <c r="N7">
        <v>182</v>
      </c>
      <c r="O7">
        <v>195</v>
      </c>
      <c r="P7">
        <v>208</v>
      </c>
      <c r="Q7">
        <v>221</v>
      </c>
      <c r="R7">
        <v>234</v>
      </c>
      <c r="S7">
        <v>247</v>
      </c>
      <c r="T7">
        <v>260</v>
      </c>
      <c r="U7">
        <v>273</v>
      </c>
      <c r="V7">
        <v>286</v>
      </c>
      <c r="W7">
        <v>299</v>
      </c>
      <c r="X7">
        <v>312</v>
      </c>
      <c r="Y7">
        <v>325</v>
      </c>
      <c r="Z7">
        <v>338</v>
      </c>
      <c r="AA7">
        <v>351</v>
      </c>
      <c r="AB7">
        <v>364</v>
      </c>
      <c r="AC7">
        <v>377</v>
      </c>
      <c r="AD7">
        <v>390</v>
      </c>
      <c r="AE7">
        <v>403</v>
      </c>
      <c r="AF7">
        <v>416</v>
      </c>
      <c r="AG7">
        <v>429</v>
      </c>
      <c r="AH7">
        <v>442</v>
      </c>
      <c r="AI7">
        <v>455</v>
      </c>
      <c r="AJ7">
        <v>468</v>
      </c>
      <c r="AK7">
        <v>481</v>
      </c>
      <c r="AL7">
        <v>494</v>
      </c>
      <c r="AM7">
        <v>507</v>
      </c>
      <c r="AN7">
        <v>520</v>
      </c>
      <c r="AO7">
        <v>533</v>
      </c>
      <c r="AP7">
        <v>546</v>
      </c>
      <c r="AQ7">
        <v>559</v>
      </c>
      <c r="AR7">
        <v>572</v>
      </c>
      <c r="AS7">
        <v>585</v>
      </c>
      <c r="AT7">
        <v>598</v>
      </c>
      <c r="AU7">
        <v>611</v>
      </c>
      <c r="AV7">
        <v>624</v>
      </c>
      <c r="AW7">
        <v>637</v>
      </c>
      <c r="AX7">
        <v>650</v>
      </c>
      <c r="AY7">
        <v>663</v>
      </c>
      <c r="AZ7">
        <v>676</v>
      </c>
      <c r="BA7">
        <v>689</v>
      </c>
      <c r="BB7">
        <v>702</v>
      </c>
      <c r="BC7">
        <v>715</v>
      </c>
      <c r="BD7">
        <v>728</v>
      </c>
      <c r="BE7">
        <v>741</v>
      </c>
      <c r="BF7">
        <v>754</v>
      </c>
      <c r="BG7">
        <v>767</v>
      </c>
      <c r="BH7">
        <v>780</v>
      </c>
      <c r="BI7">
        <v>793</v>
      </c>
      <c r="BJ7">
        <v>806</v>
      </c>
      <c r="BK7">
        <v>819</v>
      </c>
      <c r="BL7">
        <v>832</v>
      </c>
      <c r="BM7">
        <v>845</v>
      </c>
      <c r="BN7">
        <v>858</v>
      </c>
      <c r="BO7">
        <v>871</v>
      </c>
      <c r="BP7">
        <v>884</v>
      </c>
      <c r="BQ7">
        <v>897</v>
      </c>
      <c r="BR7">
        <v>910</v>
      </c>
      <c r="BS7">
        <v>923</v>
      </c>
      <c r="BT7">
        <v>936</v>
      </c>
      <c r="BU7">
        <v>949</v>
      </c>
      <c r="BV7">
        <v>962</v>
      </c>
      <c r="BW7">
        <v>975</v>
      </c>
      <c r="BX7">
        <v>988</v>
      </c>
      <c r="BY7">
        <v>1001</v>
      </c>
      <c r="BZ7">
        <v>1014</v>
      </c>
      <c r="CA7">
        <v>1027</v>
      </c>
      <c r="CB7">
        <v>1040</v>
      </c>
      <c r="CC7">
        <v>1053</v>
      </c>
      <c r="CD7">
        <v>1066</v>
      </c>
      <c r="CE7">
        <v>1079</v>
      </c>
      <c r="CF7">
        <v>1092</v>
      </c>
      <c r="CG7">
        <v>1105</v>
      </c>
      <c r="CH7">
        <v>1118</v>
      </c>
      <c r="CI7">
        <v>1131</v>
      </c>
      <c r="CJ7">
        <v>1144</v>
      </c>
      <c r="CK7">
        <v>1157</v>
      </c>
      <c r="CL7">
        <v>1170</v>
      </c>
      <c r="CM7">
        <v>1183</v>
      </c>
      <c r="CN7">
        <v>1196</v>
      </c>
      <c r="CO7">
        <v>1209</v>
      </c>
      <c r="CP7">
        <v>1222</v>
      </c>
      <c r="CQ7">
        <v>1235</v>
      </c>
      <c r="CR7">
        <v>1248</v>
      </c>
      <c r="CS7">
        <v>1261</v>
      </c>
      <c r="CT7">
        <v>1274</v>
      </c>
      <c r="CU7">
        <v>1287</v>
      </c>
      <c r="CV7" t="s">
        <v>89</v>
      </c>
    </row>
    <row r="8" spans="1:100" x14ac:dyDescent="0.25">
      <c r="A8" t="s">
        <v>25</v>
      </c>
      <c r="B8">
        <v>7</v>
      </c>
      <c r="C8">
        <v>11</v>
      </c>
      <c r="D8">
        <v>14</v>
      </c>
      <c r="E8">
        <v>18</v>
      </c>
      <c r="F8">
        <v>21</v>
      </c>
      <c r="G8">
        <v>25</v>
      </c>
      <c r="H8">
        <v>28</v>
      </c>
      <c r="I8">
        <v>32</v>
      </c>
      <c r="J8">
        <v>35</v>
      </c>
      <c r="K8">
        <v>39</v>
      </c>
      <c r="L8">
        <v>42</v>
      </c>
      <c r="M8">
        <v>46</v>
      </c>
      <c r="N8">
        <v>49</v>
      </c>
      <c r="O8">
        <v>53</v>
      </c>
      <c r="P8">
        <v>56</v>
      </c>
      <c r="Q8">
        <v>60</v>
      </c>
      <c r="R8">
        <v>63</v>
      </c>
      <c r="S8">
        <v>67</v>
      </c>
      <c r="T8">
        <v>70</v>
      </c>
      <c r="U8">
        <v>74</v>
      </c>
      <c r="V8">
        <v>77</v>
      </c>
      <c r="W8">
        <v>81</v>
      </c>
      <c r="X8">
        <v>84</v>
      </c>
      <c r="Y8">
        <v>88</v>
      </c>
      <c r="Z8">
        <v>91</v>
      </c>
      <c r="AA8">
        <v>95</v>
      </c>
      <c r="AB8">
        <v>98</v>
      </c>
      <c r="AC8">
        <v>102</v>
      </c>
      <c r="AD8">
        <v>105</v>
      </c>
      <c r="AE8">
        <v>109</v>
      </c>
      <c r="AF8">
        <v>112</v>
      </c>
      <c r="AG8">
        <v>116</v>
      </c>
      <c r="AH8">
        <v>119</v>
      </c>
      <c r="AI8">
        <v>123</v>
      </c>
      <c r="AJ8">
        <v>126</v>
      </c>
      <c r="AK8">
        <v>130</v>
      </c>
      <c r="AL8">
        <v>133</v>
      </c>
      <c r="AM8">
        <v>137</v>
      </c>
      <c r="AN8">
        <v>140</v>
      </c>
      <c r="AO8">
        <v>144</v>
      </c>
      <c r="AP8">
        <v>147</v>
      </c>
      <c r="AQ8">
        <v>151</v>
      </c>
      <c r="AR8">
        <v>154</v>
      </c>
      <c r="AS8">
        <v>158</v>
      </c>
      <c r="AT8">
        <v>161</v>
      </c>
      <c r="AU8">
        <v>165</v>
      </c>
      <c r="AV8">
        <v>168</v>
      </c>
      <c r="AW8">
        <v>172</v>
      </c>
      <c r="AX8">
        <v>175</v>
      </c>
      <c r="AY8">
        <v>179</v>
      </c>
      <c r="AZ8">
        <v>182</v>
      </c>
      <c r="BA8">
        <v>186</v>
      </c>
      <c r="BB8">
        <v>189</v>
      </c>
      <c r="BC8">
        <v>193</v>
      </c>
      <c r="BD8">
        <v>196</v>
      </c>
      <c r="BE8">
        <v>200</v>
      </c>
      <c r="BF8">
        <v>203</v>
      </c>
      <c r="BG8">
        <v>207</v>
      </c>
      <c r="BH8">
        <v>210</v>
      </c>
      <c r="BI8">
        <v>214</v>
      </c>
      <c r="BJ8">
        <v>217</v>
      </c>
      <c r="BK8">
        <v>221</v>
      </c>
      <c r="BL8">
        <v>224</v>
      </c>
      <c r="BM8">
        <v>228</v>
      </c>
      <c r="BN8">
        <v>231</v>
      </c>
      <c r="BO8">
        <v>235</v>
      </c>
      <c r="BP8">
        <v>238</v>
      </c>
      <c r="BQ8">
        <v>242</v>
      </c>
      <c r="BR8">
        <v>245</v>
      </c>
      <c r="BS8">
        <v>249</v>
      </c>
      <c r="BT8">
        <v>252</v>
      </c>
      <c r="BU8">
        <v>256</v>
      </c>
      <c r="BV8">
        <v>259</v>
      </c>
      <c r="BW8">
        <v>263</v>
      </c>
      <c r="BX8">
        <v>266</v>
      </c>
      <c r="BY8">
        <v>270</v>
      </c>
      <c r="BZ8">
        <v>273</v>
      </c>
      <c r="CA8">
        <v>277</v>
      </c>
      <c r="CB8">
        <v>280</v>
      </c>
      <c r="CC8">
        <v>284</v>
      </c>
      <c r="CD8">
        <v>287</v>
      </c>
      <c r="CE8">
        <v>291</v>
      </c>
      <c r="CF8">
        <v>294</v>
      </c>
      <c r="CG8">
        <v>298</v>
      </c>
      <c r="CH8">
        <v>301</v>
      </c>
      <c r="CI8">
        <v>305</v>
      </c>
      <c r="CJ8">
        <v>308</v>
      </c>
      <c r="CK8">
        <v>312</v>
      </c>
      <c r="CL8">
        <v>315</v>
      </c>
      <c r="CM8">
        <v>319</v>
      </c>
      <c r="CN8">
        <v>322</v>
      </c>
      <c r="CO8">
        <v>326</v>
      </c>
      <c r="CP8">
        <v>329</v>
      </c>
      <c r="CQ8">
        <v>333</v>
      </c>
      <c r="CR8">
        <v>336</v>
      </c>
      <c r="CS8">
        <v>340</v>
      </c>
      <c r="CT8">
        <v>343</v>
      </c>
      <c r="CU8">
        <v>347</v>
      </c>
      <c r="CV8" t="s">
        <v>61</v>
      </c>
    </row>
    <row r="9" spans="1:100" x14ac:dyDescent="0.25">
      <c r="A9" t="s">
        <v>26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ref="BV9:CU9" si="3">BU9+0.25</f>
        <v>10.5</v>
      </c>
      <c r="BW9">
        <f t="shared" si="3"/>
        <v>10.75</v>
      </c>
      <c r="BX9">
        <f t="shared" si="3"/>
        <v>11</v>
      </c>
      <c r="BY9">
        <f t="shared" si="3"/>
        <v>11.25</v>
      </c>
      <c r="BZ9">
        <f t="shared" si="3"/>
        <v>11.5</v>
      </c>
      <c r="CA9">
        <f t="shared" si="3"/>
        <v>11.75</v>
      </c>
      <c r="CB9">
        <f t="shared" si="3"/>
        <v>12</v>
      </c>
      <c r="CC9">
        <f t="shared" si="3"/>
        <v>12.25</v>
      </c>
      <c r="CD9">
        <f t="shared" si="3"/>
        <v>12.5</v>
      </c>
      <c r="CE9">
        <f t="shared" si="3"/>
        <v>12.75</v>
      </c>
      <c r="CF9">
        <f t="shared" si="3"/>
        <v>13</v>
      </c>
      <c r="CG9">
        <f t="shared" si="3"/>
        <v>13.25</v>
      </c>
      <c r="CH9">
        <f t="shared" si="3"/>
        <v>13.5</v>
      </c>
      <c r="CI9">
        <f t="shared" si="3"/>
        <v>13.75</v>
      </c>
      <c r="CJ9">
        <f t="shared" si="3"/>
        <v>14</v>
      </c>
      <c r="CK9">
        <f t="shared" si="3"/>
        <v>14.25</v>
      </c>
      <c r="CL9">
        <f t="shared" si="3"/>
        <v>14.5</v>
      </c>
      <c r="CM9">
        <f t="shared" si="3"/>
        <v>14.75</v>
      </c>
      <c r="CN9">
        <f t="shared" si="3"/>
        <v>15</v>
      </c>
      <c r="CO9">
        <f t="shared" si="3"/>
        <v>15.25</v>
      </c>
      <c r="CP9">
        <f t="shared" si="3"/>
        <v>15.5</v>
      </c>
      <c r="CQ9">
        <f t="shared" si="3"/>
        <v>15.75</v>
      </c>
      <c r="CR9">
        <f t="shared" si="3"/>
        <v>16</v>
      </c>
      <c r="CS9">
        <f t="shared" si="3"/>
        <v>16.25</v>
      </c>
      <c r="CT9">
        <f t="shared" si="3"/>
        <v>16.5</v>
      </c>
      <c r="CU9">
        <f t="shared" si="3"/>
        <v>16.75</v>
      </c>
      <c r="CV9" t="s">
        <v>57</v>
      </c>
    </row>
    <row r="10" spans="1:100" x14ac:dyDescent="0.25">
      <c r="A10" t="s">
        <v>129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CK11" si="4">BU10+0.25</f>
        <v>10.5</v>
      </c>
      <c r="BW10">
        <f t="shared" si="4"/>
        <v>10.75</v>
      </c>
      <c r="BX10">
        <f t="shared" si="4"/>
        <v>11</v>
      </c>
      <c r="BY10">
        <f t="shared" si="4"/>
        <v>11.25</v>
      </c>
      <c r="BZ10">
        <f t="shared" si="4"/>
        <v>11.5</v>
      </c>
      <c r="CA10">
        <f t="shared" si="4"/>
        <v>11.75</v>
      </c>
      <c r="CB10">
        <f t="shared" si="4"/>
        <v>12</v>
      </c>
      <c r="CC10">
        <f t="shared" si="4"/>
        <v>12.25</v>
      </c>
      <c r="CD10">
        <f t="shared" si="4"/>
        <v>12.5</v>
      </c>
      <c r="CE10">
        <f t="shared" si="4"/>
        <v>12.75</v>
      </c>
      <c r="CF10">
        <f t="shared" si="4"/>
        <v>13</v>
      </c>
      <c r="CG10">
        <f t="shared" si="4"/>
        <v>13.25</v>
      </c>
      <c r="CH10">
        <f t="shared" si="4"/>
        <v>13.5</v>
      </c>
      <c r="CI10">
        <f t="shared" si="4"/>
        <v>13.75</v>
      </c>
      <c r="CJ10">
        <f t="shared" si="4"/>
        <v>14</v>
      </c>
      <c r="CK10">
        <f t="shared" si="4"/>
        <v>14.25</v>
      </c>
      <c r="CL10">
        <f t="shared" ref="CL10:CU11" si="5">CK10+0.25</f>
        <v>14.5</v>
      </c>
      <c r="CM10">
        <f t="shared" si="5"/>
        <v>14.75</v>
      </c>
      <c r="CN10">
        <f t="shared" si="5"/>
        <v>15</v>
      </c>
      <c r="CO10">
        <f t="shared" si="5"/>
        <v>15.25</v>
      </c>
      <c r="CP10">
        <f t="shared" si="5"/>
        <v>15.5</v>
      </c>
      <c r="CQ10">
        <f t="shared" si="5"/>
        <v>15.75</v>
      </c>
      <c r="CR10">
        <f t="shared" si="5"/>
        <v>16</v>
      </c>
      <c r="CS10">
        <f t="shared" si="5"/>
        <v>16.25</v>
      </c>
      <c r="CT10">
        <f t="shared" si="5"/>
        <v>16.5</v>
      </c>
      <c r="CU10">
        <f t="shared" si="5"/>
        <v>16.75</v>
      </c>
      <c r="CV10" t="s">
        <v>57</v>
      </c>
    </row>
    <row r="11" spans="1:100" x14ac:dyDescent="0.25">
      <c r="A11" t="s">
        <v>130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0.5</v>
      </c>
      <c r="AZ11">
        <v>1</v>
      </c>
      <c r="BA11">
        <v>1.5</v>
      </c>
      <c r="BB11">
        <v>2</v>
      </c>
      <c r="BC11">
        <v>2.5</v>
      </c>
      <c r="BD11">
        <v>3</v>
      </c>
      <c r="BE11">
        <v>3.5</v>
      </c>
      <c r="BF11">
        <v>4</v>
      </c>
      <c r="BG11">
        <v>4.5</v>
      </c>
      <c r="BH11">
        <v>5</v>
      </c>
      <c r="BI11">
        <v>5.5</v>
      </c>
      <c r="BJ11">
        <v>6</v>
      </c>
      <c r="BK11">
        <v>6.5</v>
      </c>
      <c r="BL11">
        <v>7</v>
      </c>
      <c r="BM11">
        <v>7.5</v>
      </c>
      <c r="BN11">
        <v>8</v>
      </c>
      <c r="BO11">
        <v>8.5</v>
      </c>
      <c r="BP11">
        <v>9</v>
      </c>
      <c r="BQ11">
        <v>9</v>
      </c>
      <c r="BR11">
        <v>9.5</v>
      </c>
      <c r="BS11">
        <v>9.5</v>
      </c>
      <c r="BT11">
        <v>10</v>
      </c>
      <c r="BU11">
        <f>BT11+0.25</f>
        <v>10.25</v>
      </c>
      <c r="BV11">
        <f t="shared" si="4"/>
        <v>10.5</v>
      </c>
      <c r="BW11">
        <f t="shared" si="4"/>
        <v>10.75</v>
      </c>
      <c r="BX11">
        <f t="shared" si="4"/>
        <v>11</v>
      </c>
      <c r="BY11">
        <f t="shared" si="4"/>
        <v>11.25</v>
      </c>
      <c r="BZ11">
        <f t="shared" si="4"/>
        <v>11.5</v>
      </c>
      <c r="CA11">
        <f t="shared" si="4"/>
        <v>11.75</v>
      </c>
      <c r="CB11">
        <f t="shared" si="4"/>
        <v>12</v>
      </c>
      <c r="CC11">
        <f t="shared" si="4"/>
        <v>12.25</v>
      </c>
      <c r="CD11">
        <f t="shared" si="4"/>
        <v>12.5</v>
      </c>
      <c r="CE11">
        <f t="shared" si="4"/>
        <v>12.75</v>
      </c>
      <c r="CF11">
        <f t="shared" si="4"/>
        <v>13</v>
      </c>
      <c r="CG11">
        <f t="shared" si="4"/>
        <v>13.25</v>
      </c>
      <c r="CH11">
        <f t="shared" si="4"/>
        <v>13.5</v>
      </c>
      <c r="CI11">
        <f t="shared" si="4"/>
        <v>13.75</v>
      </c>
      <c r="CJ11">
        <f t="shared" si="4"/>
        <v>14</v>
      </c>
      <c r="CK11">
        <f t="shared" si="4"/>
        <v>14.25</v>
      </c>
      <c r="CL11">
        <f t="shared" si="5"/>
        <v>14.5</v>
      </c>
      <c r="CM11">
        <f t="shared" si="5"/>
        <v>14.75</v>
      </c>
      <c r="CN11">
        <f t="shared" si="5"/>
        <v>15</v>
      </c>
      <c r="CO11">
        <f t="shared" si="5"/>
        <v>15.25</v>
      </c>
      <c r="CP11">
        <f t="shared" si="5"/>
        <v>15.5</v>
      </c>
      <c r="CQ11">
        <f t="shared" si="5"/>
        <v>15.75</v>
      </c>
      <c r="CR11">
        <f t="shared" si="5"/>
        <v>16</v>
      </c>
      <c r="CS11">
        <f t="shared" si="5"/>
        <v>16.25</v>
      </c>
      <c r="CT11">
        <f t="shared" si="5"/>
        <v>16.5</v>
      </c>
      <c r="CU11">
        <f t="shared" si="5"/>
        <v>16.75</v>
      </c>
      <c r="CV11" t="s">
        <v>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W14"/>
  <sheetViews>
    <sheetView topLeftCell="AV1" workbookViewId="0">
      <selection activeCell="A8" sqref="A1:CV8"/>
    </sheetView>
  </sheetViews>
  <sheetFormatPr defaultRowHeight="15" x14ac:dyDescent="0.25"/>
  <cols>
    <col min="1" max="1" width="23.140625" bestFit="1" customWidth="1"/>
    <col min="2" max="3" width="3" bestFit="1" customWidth="1"/>
    <col min="4" max="38" width="4" bestFit="1" customWidth="1"/>
    <col min="39" max="99" width="5" bestFit="1" customWidth="1"/>
    <col min="100" max="100" width="5.5703125" bestFit="1" customWidth="1"/>
    <col min="101" max="101" width="4" bestFit="1" customWidth="1"/>
  </cols>
  <sheetData>
    <row r="1" spans="1:101" x14ac:dyDescent="0.25">
      <c r="A1" t="s">
        <v>101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v>204</v>
      </c>
      <c r="AZ1">
        <v>208</v>
      </c>
      <c r="BA1">
        <v>212</v>
      </c>
      <c r="BB1">
        <v>216</v>
      </c>
      <c r="BC1">
        <v>220</v>
      </c>
      <c r="BD1">
        <v>224</v>
      </c>
      <c r="BE1">
        <v>228</v>
      </c>
      <c r="BF1">
        <v>232</v>
      </c>
      <c r="BG1">
        <v>236</v>
      </c>
      <c r="BH1">
        <v>240</v>
      </c>
      <c r="BI1">
        <v>244</v>
      </c>
      <c r="BJ1">
        <v>248</v>
      </c>
      <c r="BK1">
        <v>252</v>
      </c>
      <c r="BL1">
        <v>256</v>
      </c>
      <c r="BM1">
        <v>260</v>
      </c>
      <c r="BN1">
        <v>264</v>
      </c>
      <c r="BO1">
        <v>268</v>
      </c>
      <c r="BP1">
        <v>272</v>
      </c>
      <c r="BQ1">
        <v>276</v>
      </c>
      <c r="BR1">
        <v>280</v>
      </c>
      <c r="BS1">
        <v>284</v>
      </c>
      <c r="BT1">
        <v>288</v>
      </c>
      <c r="BU1">
        <v>292</v>
      </c>
      <c r="BV1">
        <v>296</v>
      </c>
      <c r="BW1">
        <v>300</v>
      </c>
      <c r="BX1">
        <v>304</v>
      </c>
      <c r="BY1">
        <v>308</v>
      </c>
      <c r="BZ1">
        <v>312</v>
      </c>
      <c r="CA1">
        <v>316</v>
      </c>
      <c r="CB1">
        <v>320</v>
      </c>
      <c r="CC1">
        <v>324</v>
      </c>
      <c r="CD1">
        <v>328</v>
      </c>
      <c r="CE1">
        <v>332</v>
      </c>
      <c r="CF1">
        <v>336</v>
      </c>
      <c r="CG1">
        <v>340</v>
      </c>
      <c r="CH1">
        <v>344</v>
      </c>
      <c r="CI1">
        <v>348</v>
      </c>
      <c r="CJ1">
        <v>352</v>
      </c>
      <c r="CK1">
        <v>356</v>
      </c>
      <c r="CL1">
        <v>360</v>
      </c>
      <c r="CM1">
        <v>364</v>
      </c>
      <c r="CN1">
        <v>368</v>
      </c>
      <c r="CO1">
        <v>372</v>
      </c>
      <c r="CP1">
        <v>376</v>
      </c>
      <c r="CQ1">
        <v>380</v>
      </c>
      <c r="CR1">
        <v>384</v>
      </c>
      <c r="CS1">
        <v>388</v>
      </c>
      <c r="CT1">
        <v>392</v>
      </c>
      <c r="CU1">
        <v>396</v>
      </c>
      <c r="CV1" t="s">
        <v>114</v>
      </c>
    </row>
    <row r="2" spans="1:101" x14ac:dyDescent="0.25">
      <c r="A2" t="s">
        <v>115</v>
      </c>
      <c r="B2">
        <v>5</v>
      </c>
      <c r="C2">
        <v>7</v>
      </c>
      <c r="D2">
        <v>9</v>
      </c>
      <c r="E2">
        <v>11</v>
      </c>
      <c r="F2">
        <v>13</v>
      </c>
      <c r="G2">
        <v>15</v>
      </c>
      <c r="H2">
        <v>17</v>
      </c>
      <c r="I2">
        <v>19</v>
      </c>
      <c r="J2">
        <v>21</v>
      </c>
      <c r="K2">
        <v>23</v>
      </c>
      <c r="L2">
        <v>25</v>
      </c>
      <c r="M2">
        <v>27</v>
      </c>
      <c r="N2">
        <v>29</v>
      </c>
      <c r="O2">
        <v>31</v>
      </c>
      <c r="P2">
        <v>33</v>
      </c>
      <c r="Q2">
        <v>35</v>
      </c>
      <c r="R2">
        <v>37</v>
      </c>
      <c r="S2">
        <v>39</v>
      </c>
      <c r="T2">
        <v>41</v>
      </c>
      <c r="U2">
        <v>43</v>
      </c>
      <c r="V2">
        <v>45</v>
      </c>
      <c r="W2">
        <v>47</v>
      </c>
      <c r="X2">
        <v>49</v>
      </c>
      <c r="Y2">
        <v>51</v>
      </c>
      <c r="Z2">
        <v>53</v>
      </c>
      <c r="AA2">
        <v>55</v>
      </c>
      <c r="AB2">
        <v>57</v>
      </c>
      <c r="AC2">
        <v>59</v>
      </c>
      <c r="AD2">
        <v>61</v>
      </c>
      <c r="AE2">
        <v>63</v>
      </c>
      <c r="AF2">
        <v>65</v>
      </c>
      <c r="AG2">
        <v>67</v>
      </c>
      <c r="AH2">
        <v>69</v>
      </c>
      <c r="AI2">
        <v>71</v>
      </c>
      <c r="AJ2">
        <v>73</v>
      </c>
      <c r="AK2">
        <v>75</v>
      </c>
      <c r="AL2">
        <v>77</v>
      </c>
      <c r="AM2">
        <v>79</v>
      </c>
      <c r="AN2">
        <v>81</v>
      </c>
      <c r="AO2">
        <v>83</v>
      </c>
      <c r="AP2">
        <v>85</v>
      </c>
      <c r="AQ2">
        <v>87</v>
      </c>
      <c r="AR2">
        <v>89</v>
      </c>
      <c r="AS2">
        <v>91</v>
      </c>
      <c r="AT2">
        <v>93</v>
      </c>
      <c r="AU2">
        <v>95</v>
      </c>
      <c r="AV2">
        <v>97</v>
      </c>
      <c r="AW2">
        <v>99</v>
      </c>
      <c r="AX2">
        <v>101</v>
      </c>
      <c r="AY2">
        <v>103</v>
      </c>
      <c r="AZ2">
        <v>105</v>
      </c>
      <c r="BA2">
        <v>107</v>
      </c>
      <c r="BB2">
        <v>109</v>
      </c>
      <c r="BC2">
        <v>111</v>
      </c>
      <c r="BD2">
        <v>113</v>
      </c>
      <c r="BE2">
        <v>115</v>
      </c>
      <c r="BF2">
        <v>117</v>
      </c>
      <c r="BG2">
        <v>119</v>
      </c>
      <c r="BH2">
        <v>121</v>
      </c>
      <c r="BI2">
        <v>123</v>
      </c>
      <c r="BJ2">
        <v>125</v>
      </c>
      <c r="BK2">
        <v>127</v>
      </c>
      <c r="BL2">
        <v>129</v>
      </c>
      <c r="BM2">
        <v>131</v>
      </c>
      <c r="BN2">
        <v>133</v>
      </c>
      <c r="BO2">
        <v>135</v>
      </c>
      <c r="BP2">
        <v>137</v>
      </c>
      <c r="BQ2">
        <v>139</v>
      </c>
      <c r="BR2">
        <v>141</v>
      </c>
      <c r="BS2">
        <v>143</v>
      </c>
      <c r="BT2">
        <v>145</v>
      </c>
      <c r="BU2">
        <v>147</v>
      </c>
      <c r="BV2">
        <v>149</v>
      </c>
      <c r="BW2">
        <v>151</v>
      </c>
      <c r="BX2">
        <v>153</v>
      </c>
      <c r="BY2">
        <v>155</v>
      </c>
      <c r="BZ2">
        <v>157</v>
      </c>
      <c r="CA2">
        <v>159</v>
      </c>
      <c r="CB2">
        <v>161</v>
      </c>
      <c r="CC2">
        <v>163</v>
      </c>
      <c r="CD2">
        <v>165</v>
      </c>
      <c r="CE2">
        <v>167</v>
      </c>
      <c r="CF2">
        <v>169</v>
      </c>
      <c r="CG2">
        <v>171</v>
      </c>
      <c r="CH2">
        <v>173</v>
      </c>
      <c r="CI2">
        <v>175</v>
      </c>
      <c r="CJ2">
        <v>177</v>
      </c>
      <c r="CK2">
        <v>179</v>
      </c>
      <c r="CL2">
        <v>181</v>
      </c>
      <c r="CM2">
        <v>183</v>
      </c>
      <c r="CN2">
        <v>185</v>
      </c>
      <c r="CO2">
        <v>187</v>
      </c>
      <c r="CP2">
        <v>189</v>
      </c>
      <c r="CQ2">
        <v>191</v>
      </c>
      <c r="CR2">
        <v>193</v>
      </c>
      <c r="CS2">
        <v>195</v>
      </c>
      <c r="CT2">
        <v>197</v>
      </c>
      <c r="CU2">
        <v>199</v>
      </c>
      <c r="CV2" t="s">
        <v>116</v>
      </c>
    </row>
    <row r="3" spans="1:101" x14ac:dyDescent="0.25">
      <c r="A3" t="s">
        <v>117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118</v>
      </c>
    </row>
    <row r="4" spans="1:101" x14ac:dyDescent="0.25">
      <c r="A4" t="s">
        <v>119</v>
      </c>
      <c r="B4">
        <v>52</v>
      </c>
      <c r="C4">
        <v>78</v>
      </c>
      <c r="D4">
        <v>104</v>
      </c>
      <c r="E4">
        <v>130</v>
      </c>
      <c r="F4">
        <v>156</v>
      </c>
      <c r="G4">
        <v>182</v>
      </c>
      <c r="H4">
        <v>208</v>
      </c>
      <c r="I4">
        <v>234</v>
      </c>
      <c r="J4">
        <v>260</v>
      </c>
      <c r="K4">
        <v>286</v>
      </c>
      <c r="L4">
        <v>312</v>
      </c>
      <c r="M4">
        <v>338</v>
      </c>
      <c r="N4">
        <v>364</v>
      </c>
      <c r="O4">
        <v>390</v>
      </c>
      <c r="P4">
        <v>416</v>
      </c>
      <c r="Q4">
        <v>442</v>
      </c>
      <c r="R4">
        <v>468</v>
      </c>
      <c r="S4">
        <v>494</v>
      </c>
      <c r="T4">
        <v>520</v>
      </c>
      <c r="U4">
        <v>546</v>
      </c>
      <c r="V4">
        <v>572</v>
      </c>
      <c r="W4">
        <v>598</v>
      </c>
      <c r="X4">
        <v>624</v>
      </c>
      <c r="Y4">
        <v>650</v>
      </c>
      <c r="Z4">
        <v>676</v>
      </c>
      <c r="AA4">
        <v>702</v>
      </c>
      <c r="AB4">
        <v>728</v>
      </c>
      <c r="AC4">
        <v>754</v>
      </c>
      <c r="AD4">
        <v>780</v>
      </c>
      <c r="AE4">
        <v>806</v>
      </c>
      <c r="AF4">
        <v>832</v>
      </c>
      <c r="AG4">
        <v>858</v>
      </c>
      <c r="AH4">
        <v>884</v>
      </c>
      <c r="AI4">
        <v>910</v>
      </c>
      <c r="AJ4">
        <v>936</v>
      </c>
      <c r="AK4">
        <v>962</v>
      </c>
      <c r="AL4">
        <v>988</v>
      </c>
      <c r="AM4">
        <v>1014</v>
      </c>
      <c r="AN4">
        <v>1040</v>
      </c>
      <c r="AO4">
        <v>1066</v>
      </c>
      <c r="AP4">
        <v>1092</v>
      </c>
      <c r="AQ4">
        <v>1118</v>
      </c>
      <c r="AR4">
        <v>1144</v>
      </c>
      <c r="AS4">
        <v>1170</v>
      </c>
      <c r="AT4">
        <v>1196</v>
      </c>
      <c r="AU4">
        <v>1222</v>
      </c>
      <c r="AV4">
        <v>1248</v>
      </c>
      <c r="AW4">
        <v>1274</v>
      </c>
      <c r="AX4">
        <v>1300</v>
      </c>
      <c r="AY4">
        <v>1326</v>
      </c>
      <c r="AZ4">
        <v>1352</v>
      </c>
      <c r="BA4">
        <v>1378</v>
      </c>
      <c r="BB4">
        <v>1404</v>
      </c>
      <c r="BC4">
        <v>1430</v>
      </c>
      <c r="BD4">
        <v>1456</v>
      </c>
      <c r="BE4">
        <v>1482</v>
      </c>
      <c r="BF4">
        <v>1508</v>
      </c>
      <c r="BG4">
        <v>1534</v>
      </c>
      <c r="BH4">
        <v>1560</v>
      </c>
      <c r="BI4">
        <v>1586</v>
      </c>
      <c r="BJ4">
        <v>1612</v>
      </c>
      <c r="BK4">
        <v>1638</v>
      </c>
      <c r="BL4">
        <v>1664</v>
      </c>
      <c r="BM4">
        <v>1690</v>
      </c>
      <c r="BN4">
        <v>1716</v>
      </c>
      <c r="BO4">
        <v>1742</v>
      </c>
      <c r="BP4">
        <v>1768</v>
      </c>
      <c r="BQ4">
        <v>1794</v>
      </c>
      <c r="BR4">
        <v>1820</v>
      </c>
      <c r="BS4">
        <v>1846</v>
      </c>
      <c r="BT4">
        <v>1872</v>
      </c>
      <c r="BU4">
        <v>1898</v>
      </c>
      <c r="BV4">
        <v>1924</v>
      </c>
      <c r="BW4">
        <v>1950</v>
      </c>
      <c r="BX4">
        <v>1976</v>
      </c>
      <c r="BY4">
        <v>2002</v>
      </c>
      <c r="BZ4">
        <v>2028</v>
      </c>
      <c r="CA4">
        <v>2054</v>
      </c>
      <c r="CB4">
        <v>2080</v>
      </c>
      <c r="CC4">
        <v>2106</v>
      </c>
      <c r="CD4">
        <v>2132</v>
      </c>
      <c r="CE4">
        <v>2158</v>
      </c>
      <c r="CF4">
        <v>2184</v>
      </c>
      <c r="CG4">
        <v>2210</v>
      </c>
      <c r="CH4">
        <v>2236</v>
      </c>
      <c r="CI4">
        <v>2262</v>
      </c>
      <c r="CJ4">
        <v>2288</v>
      </c>
      <c r="CK4">
        <v>2314</v>
      </c>
      <c r="CL4">
        <v>2340</v>
      </c>
      <c r="CM4">
        <v>2366</v>
      </c>
      <c r="CN4">
        <v>2392</v>
      </c>
      <c r="CO4">
        <v>2418</v>
      </c>
      <c r="CP4">
        <v>2444</v>
      </c>
      <c r="CQ4">
        <v>2470</v>
      </c>
      <c r="CR4">
        <v>2496</v>
      </c>
      <c r="CS4">
        <v>2522</v>
      </c>
      <c r="CT4">
        <v>2548</v>
      </c>
      <c r="CU4">
        <v>2574</v>
      </c>
      <c r="CV4" t="s">
        <v>120</v>
      </c>
    </row>
    <row r="5" spans="1:101" x14ac:dyDescent="0.25">
      <c r="A5" t="s">
        <v>121</v>
      </c>
      <c r="B5">
        <v>18</v>
      </c>
      <c r="C5">
        <v>24</v>
      </c>
      <c r="D5">
        <v>30</v>
      </c>
      <c r="E5">
        <v>36</v>
      </c>
      <c r="F5">
        <v>42</v>
      </c>
      <c r="G5">
        <v>48</v>
      </c>
      <c r="H5">
        <v>54</v>
      </c>
      <c r="I5">
        <v>60</v>
      </c>
      <c r="J5">
        <v>66</v>
      </c>
      <c r="K5">
        <v>72</v>
      </c>
      <c r="L5">
        <v>78</v>
      </c>
      <c r="M5">
        <v>84</v>
      </c>
      <c r="N5">
        <v>90</v>
      </c>
      <c r="O5">
        <v>96</v>
      </c>
      <c r="P5">
        <v>102</v>
      </c>
      <c r="Q5">
        <v>108</v>
      </c>
      <c r="R5">
        <v>114</v>
      </c>
      <c r="S5">
        <v>120</v>
      </c>
      <c r="T5">
        <v>126</v>
      </c>
      <c r="U5">
        <v>132</v>
      </c>
      <c r="V5">
        <v>138</v>
      </c>
      <c r="W5">
        <v>144</v>
      </c>
      <c r="X5">
        <v>150</v>
      </c>
      <c r="Y5">
        <v>156</v>
      </c>
      <c r="Z5">
        <v>162</v>
      </c>
      <c r="AA5">
        <v>168</v>
      </c>
      <c r="AB5">
        <v>174</v>
      </c>
      <c r="AC5">
        <v>180</v>
      </c>
      <c r="AD5">
        <v>186</v>
      </c>
      <c r="AE5">
        <v>192</v>
      </c>
      <c r="AF5">
        <v>198</v>
      </c>
      <c r="AG5">
        <v>204</v>
      </c>
      <c r="AH5">
        <v>210</v>
      </c>
      <c r="AI5">
        <v>216</v>
      </c>
      <c r="AJ5">
        <v>222</v>
      </c>
      <c r="AK5">
        <v>228</v>
      </c>
      <c r="AL5">
        <v>234</v>
      </c>
      <c r="AM5">
        <v>240</v>
      </c>
      <c r="AN5">
        <v>246</v>
      </c>
      <c r="AO5">
        <v>252</v>
      </c>
      <c r="AP5">
        <v>258</v>
      </c>
      <c r="AQ5">
        <v>264</v>
      </c>
      <c r="AR5">
        <v>270</v>
      </c>
      <c r="AS5">
        <v>276</v>
      </c>
      <c r="AT5">
        <v>282</v>
      </c>
      <c r="AU5">
        <v>288</v>
      </c>
      <c r="AV5">
        <v>294</v>
      </c>
      <c r="AW5">
        <v>300</v>
      </c>
      <c r="AX5">
        <v>306</v>
      </c>
      <c r="AY5">
        <v>312</v>
      </c>
      <c r="AZ5">
        <v>318</v>
      </c>
      <c r="BA5">
        <v>324</v>
      </c>
      <c r="BB5">
        <v>330</v>
      </c>
      <c r="BC5">
        <v>336</v>
      </c>
      <c r="BD5">
        <v>342</v>
      </c>
      <c r="BE5">
        <v>348</v>
      </c>
      <c r="BF5">
        <v>354</v>
      </c>
      <c r="BG5">
        <v>360</v>
      </c>
      <c r="BH5">
        <v>366</v>
      </c>
      <c r="BI5">
        <v>372</v>
      </c>
      <c r="BJ5">
        <v>378</v>
      </c>
      <c r="BK5">
        <v>384</v>
      </c>
      <c r="BL5">
        <v>390</v>
      </c>
      <c r="BM5">
        <v>396</v>
      </c>
      <c r="BN5">
        <v>402</v>
      </c>
      <c r="BO5">
        <v>408</v>
      </c>
      <c r="BP5">
        <v>414</v>
      </c>
      <c r="BQ5">
        <v>420</v>
      </c>
      <c r="BR5">
        <v>426</v>
      </c>
      <c r="BS5">
        <v>432</v>
      </c>
      <c r="BT5">
        <v>438</v>
      </c>
      <c r="BU5">
        <v>444</v>
      </c>
      <c r="BV5">
        <v>450</v>
      </c>
      <c r="BW5">
        <v>456</v>
      </c>
      <c r="BX5">
        <v>462</v>
      </c>
      <c r="BY5">
        <v>468</v>
      </c>
      <c r="BZ5">
        <v>474</v>
      </c>
      <c r="CA5">
        <v>480</v>
      </c>
      <c r="CB5">
        <v>486</v>
      </c>
      <c r="CC5">
        <v>492</v>
      </c>
      <c r="CD5">
        <v>498</v>
      </c>
      <c r="CE5">
        <v>504</v>
      </c>
      <c r="CF5">
        <v>510</v>
      </c>
      <c r="CG5">
        <v>516</v>
      </c>
      <c r="CH5">
        <v>522</v>
      </c>
      <c r="CI5">
        <v>528</v>
      </c>
      <c r="CJ5">
        <v>534</v>
      </c>
      <c r="CK5">
        <v>540</v>
      </c>
      <c r="CL5">
        <v>546</v>
      </c>
      <c r="CM5">
        <v>552</v>
      </c>
      <c r="CN5">
        <v>558</v>
      </c>
      <c r="CO5">
        <v>564</v>
      </c>
      <c r="CP5">
        <v>570</v>
      </c>
      <c r="CQ5">
        <v>576</v>
      </c>
      <c r="CR5">
        <v>582</v>
      </c>
      <c r="CS5">
        <v>588</v>
      </c>
      <c r="CT5">
        <v>594</v>
      </c>
      <c r="CU5">
        <v>600</v>
      </c>
      <c r="CV5" t="s">
        <v>122</v>
      </c>
    </row>
    <row r="6" spans="1:101" x14ac:dyDescent="0.25">
      <c r="A6" t="s">
        <v>123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  <c r="AN6">
        <v>40</v>
      </c>
      <c r="AO6">
        <v>41</v>
      </c>
      <c r="AP6">
        <v>42</v>
      </c>
      <c r="AQ6">
        <v>43</v>
      </c>
      <c r="AR6">
        <v>44</v>
      </c>
      <c r="AS6">
        <v>45</v>
      </c>
      <c r="AT6">
        <v>46</v>
      </c>
      <c r="AU6">
        <v>47</v>
      </c>
      <c r="AV6">
        <v>48</v>
      </c>
      <c r="AW6">
        <v>49</v>
      </c>
      <c r="AX6">
        <v>50</v>
      </c>
      <c r="AY6">
        <f>AX6+5</f>
        <v>55</v>
      </c>
      <c r="AZ6">
        <f t="shared" ref="AZ6:BU6" si="0">AY6+5</f>
        <v>60</v>
      </c>
      <c r="BA6">
        <f t="shared" si="0"/>
        <v>65</v>
      </c>
      <c r="BB6">
        <f t="shared" si="0"/>
        <v>70</v>
      </c>
      <c r="BC6">
        <f t="shared" si="0"/>
        <v>75</v>
      </c>
      <c r="BD6">
        <f t="shared" si="0"/>
        <v>80</v>
      </c>
      <c r="BE6">
        <f t="shared" si="0"/>
        <v>85</v>
      </c>
      <c r="BF6">
        <f t="shared" si="0"/>
        <v>90</v>
      </c>
      <c r="BG6">
        <f t="shared" si="0"/>
        <v>95</v>
      </c>
      <c r="BH6">
        <f t="shared" si="0"/>
        <v>100</v>
      </c>
      <c r="BI6">
        <f t="shared" si="0"/>
        <v>105</v>
      </c>
      <c r="BJ6">
        <f t="shared" si="0"/>
        <v>110</v>
      </c>
      <c r="BK6">
        <f t="shared" si="0"/>
        <v>115</v>
      </c>
      <c r="BL6">
        <f t="shared" si="0"/>
        <v>120</v>
      </c>
      <c r="BM6">
        <f t="shared" si="0"/>
        <v>125</v>
      </c>
      <c r="BN6">
        <f t="shared" si="0"/>
        <v>130</v>
      </c>
      <c r="BO6">
        <f t="shared" si="0"/>
        <v>135</v>
      </c>
      <c r="BP6">
        <f t="shared" si="0"/>
        <v>140</v>
      </c>
      <c r="BQ6">
        <f t="shared" si="0"/>
        <v>145</v>
      </c>
      <c r="BR6">
        <f t="shared" si="0"/>
        <v>150</v>
      </c>
      <c r="BS6">
        <f t="shared" si="0"/>
        <v>155</v>
      </c>
      <c r="BT6">
        <f t="shared" si="0"/>
        <v>160</v>
      </c>
      <c r="BU6">
        <f t="shared" si="0"/>
        <v>165</v>
      </c>
      <c r="BV6">
        <f>BU6+2.5</f>
        <v>167.5</v>
      </c>
      <c r="BW6">
        <f t="shared" ref="BW6:CU6" si="1">BV6+2.5</f>
        <v>170</v>
      </c>
      <c r="BX6">
        <f t="shared" si="1"/>
        <v>172.5</v>
      </c>
      <c r="BY6">
        <f t="shared" si="1"/>
        <v>175</v>
      </c>
      <c r="BZ6">
        <f t="shared" si="1"/>
        <v>177.5</v>
      </c>
      <c r="CA6">
        <f t="shared" si="1"/>
        <v>180</v>
      </c>
      <c r="CB6">
        <f t="shared" si="1"/>
        <v>182.5</v>
      </c>
      <c r="CC6">
        <f t="shared" si="1"/>
        <v>185</v>
      </c>
      <c r="CD6">
        <f t="shared" si="1"/>
        <v>187.5</v>
      </c>
      <c r="CE6">
        <f t="shared" si="1"/>
        <v>190</v>
      </c>
      <c r="CF6">
        <f t="shared" si="1"/>
        <v>192.5</v>
      </c>
      <c r="CG6">
        <f t="shared" si="1"/>
        <v>195</v>
      </c>
      <c r="CH6">
        <f t="shared" si="1"/>
        <v>197.5</v>
      </c>
      <c r="CI6">
        <f t="shared" si="1"/>
        <v>200</v>
      </c>
      <c r="CJ6">
        <f t="shared" si="1"/>
        <v>202.5</v>
      </c>
      <c r="CK6">
        <f t="shared" si="1"/>
        <v>205</v>
      </c>
      <c r="CL6">
        <f t="shared" si="1"/>
        <v>207.5</v>
      </c>
      <c r="CM6">
        <f t="shared" si="1"/>
        <v>210</v>
      </c>
      <c r="CN6">
        <f t="shared" si="1"/>
        <v>212.5</v>
      </c>
      <c r="CO6">
        <f t="shared" si="1"/>
        <v>215</v>
      </c>
      <c r="CP6">
        <f t="shared" si="1"/>
        <v>217.5</v>
      </c>
      <c r="CQ6">
        <f t="shared" si="1"/>
        <v>220</v>
      </c>
      <c r="CR6">
        <f t="shared" si="1"/>
        <v>222.5</v>
      </c>
      <c r="CS6">
        <f t="shared" si="1"/>
        <v>225</v>
      </c>
      <c r="CT6">
        <f t="shared" si="1"/>
        <v>227.5</v>
      </c>
      <c r="CU6">
        <f t="shared" si="1"/>
        <v>230</v>
      </c>
      <c r="CV6" t="s">
        <v>127</v>
      </c>
    </row>
    <row r="7" spans="1:101" x14ac:dyDescent="0.25">
      <c r="A7" t="s">
        <v>124</v>
      </c>
      <c r="B7">
        <v>5</v>
      </c>
      <c r="C7">
        <v>7</v>
      </c>
      <c r="D7">
        <v>9</v>
      </c>
      <c r="E7">
        <v>11</v>
      </c>
      <c r="F7">
        <v>13</v>
      </c>
      <c r="G7">
        <v>15</v>
      </c>
      <c r="H7">
        <v>17</v>
      </c>
      <c r="I7">
        <v>19</v>
      </c>
      <c r="J7">
        <v>21</v>
      </c>
      <c r="K7">
        <v>23</v>
      </c>
      <c r="L7">
        <v>25</v>
      </c>
      <c r="M7">
        <v>27</v>
      </c>
      <c r="N7">
        <v>29</v>
      </c>
      <c r="O7">
        <v>31</v>
      </c>
      <c r="P7">
        <v>33</v>
      </c>
      <c r="Q7">
        <v>35</v>
      </c>
      <c r="R7">
        <v>37</v>
      </c>
      <c r="S7">
        <v>39</v>
      </c>
      <c r="T7">
        <v>41</v>
      </c>
      <c r="U7">
        <v>43</v>
      </c>
      <c r="V7">
        <v>45</v>
      </c>
      <c r="W7">
        <v>47</v>
      </c>
      <c r="X7">
        <v>49</v>
      </c>
      <c r="Y7">
        <v>51</v>
      </c>
      <c r="Z7">
        <v>53</v>
      </c>
      <c r="AA7">
        <v>55</v>
      </c>
      <c r="AB7">
        <v>57</v>
      </c>
      <c r="AC7">
        <v>59</v>
      </c>
      <c r="AD7">
        <v>61</v>
      </c>
      <c r="AE7">
        <v>63</v>
      </c>
      <c r="AF7">
        <v>65</v>
      </c>
      <c r="AG7">
        <v>67</v>
      </c>
      <c r="AH7">
        <v>69</v>
      </c>
      <c r="AI7">
        <v>71</v>
      </c>
      <c r="AJ7">
        <v>73</v>
      </c>
      <c r="AK7">
        <v>75</v>
      </c>
      <c r="AL7">
        <v>77</v>
      </c>
      <c r="AM7">
        <v>79</v>
      </c>
      <c r="AN7">
        <v>81</v>
      </c>
      <c r="AO7">
        <v>83</v>
      </c>
      <c r="AP7">
        <v>85</v>
      </c>
      <c r="AQ7">
        <v>87</v>
      </c>
      <c r="AR7">
        <v>89</v>
      </c>
      <c r="AS7">
        <v>91</v>
      </c>
      <c r="AT7">
        <v>93</v>
      </c>
      <c r="AU7">
        <v>95</v>
      </c>
      <c r="AV7">
        <v>97</v>
      </c>
      <c r="AW7">
        <v>99</v>
      </c>
      <c r="AX7">
        <v>101</v>
      </c>
      <c r="AY7">
        <f>AX7+5</f>
        <v>106</v>
      </c>
      <c r="AZ7">
        <f t="shared" ref="AZ7:BU7" si="2">AY7+5</f>
        <v>111</v>
      </c>
      <c r="BA7">
        <f t="shared" si="2"/>
        <v>116</v>
      </c>
      <c r="BB7">
        <f t="shared" si="2"/>
        <v>121</v>
      </c>
      <c r="BC7">
        <f t="shared" si="2"/>
        <v>126</v>
      </c>
      <c r="BD7">
        <f t="shared" si="2"/>
        <v>131</v>
      </c>
      <c r="BE7">
        <f t="shared" si="2"/>
        <v>136</v>
      </c>
      <c r="BF7">
        <f t="shared" si="2"/>
        <v>141</v>
      </c>
      <c r="BG7">
        <f t="shared" si="2"/>
        <v>146</v>
      </c>
      <c r="BH7">
        <f t="shared" si="2"/>
        <v>151</v>
      </c>
      <c r="BI7">
        <f t="shared" si="2"/>
        <v>156</v>
      </c>
      <c r="BJ7">
        <f t="shared" si="2"/>
        <v>161</v>
      </c>
      <c r="BK7">
        <f t="shared" si="2"/>
        <v>166</v>
      </c>
      <c r="BL7">
        <f t="shared" si="2"/>
        <v>171</v>
      </c>
      <c r="BM7">
        <f t="shared" si="2"/>
        <v>176</v>
      </c>
      <c r="BN7">
        <f t="shared" si="2"/>
        <v>181</v>
      </c>
      <c r="BO7">
        <f t="shared" si="2"/>
        <v>186</v>
      </c>
      <c r="BP7">
        <f t="shared" si="2"/>
        <v>191</v>
      </c>
      <c r="BQ7">
        <f t="shared" si="2"/>
        <v>196</v>
      </c>
      <c r="BR7">
        <f t="shared" si="2"/>
        <v>201</v>
      </c>
      <c r="BS7">
        <f t="shared" si="2"/>
        <v>206</v>
      </c>
      <c r="BT7">
        <f t="shared" si="2"/>
        <v>211</v>
      </c>
      <c r="BU7">
        <f t="shared" si="2"/>
        <v>216</v>
      </c>
      <c r="BV7">
        <f>BU7+2.5</f>
        <v>218.5</v>
      </c>
      <c r="BW7">
        <f t="shared" ref="BW7:CU7" si="3">BV7+2.5</f>
        <v>221</v>
      </c>
      <c r="BX7">
        <f t="shared" si="3"/>
        <v>223.5</v>
      </c>
      <c r="BY7">
        <f t="shared" si="3"/>
        <v>226</v>
      </c>
      <c r="BZ7">
        <f t="shared" si="3"/>
        <v>228.5</v>
      </c>
      <c r="CA7">
        <f t="shared" si="3"/>
        <v>231</v>
      </c>
      <c r="CB7">
        <f t="shared" si="3"/>
        <v>233.5</v>
      </c>
      <c r="CC7">
        <f t="shared" si="3"/>
        <v>236</v>
      </c>
      <c r="CD7">
        <f t="shared" si="3"/>
        <v>238.5</v>
      </c>
      <c r="CE7">
        <f t="shared" si="3"/>
        <v>241</v>
      </c>
      <c r="CF7">
        <f t="shared" si="3"/>
        <v>243.5</v>
      </c>
      <c r="CG7">
        <f t="shared" si="3"/>
        <v>246</v>
      </c>
      <c r="CH7">
        <f t="shared" si="3"/>
        <v>248.5</v>
      </c>
      <c r="CI7">
        <f t="shared" si="3"/>
        <v>251</v>
      </c>
      <c r="CJ7">
        <f t="shared" si="3"/>
        <v>253.5</v>
      </c>
      <c r="CK7">
        <f t="shared" si="3"/>
        <v>256</v>
      </c>
      <c r="CL7">
        <f t="shared" si="3"/>
        <v>258.5</v>
      </c>
      <c r="CM7">
        <f t="shared" si="3"/>
        <v>261</v>
      </c>
      <c r="CN7">
        <f t="shared" si="3"/>
        <v>263.5</v>
      </c>
      <c r="CO7">
        <f t="shared" si="3"/>
        <v>266</v>
      </c>
      <c r="CP7">
        <f t="shared" si="3"/>
        <v>268.5</v>
      </c>
      <c r="CQ7">
        <f t="shared" si="3"/>
        <v>271</v>
      </c>
      <c r="CR7">
        <f t="shared" si="3"/>
        <v>273.5</v>
      </c>
      <c r="CS7">
        <f t="shared" si="3"/>
        <v>276</v>
      </c>
      <c r="CT7">
        <f t="shared" si="3"/>
        <v>278.5</v>
      </c>
      <c r="CU7">
        <f t="shared" si="3"/>
        <v>281</v>
      </c>
      <c r="CV7" t="s">
        <v>128</v>
      </c>
    </row>
    <row r="8" spans="1:101" x14ac:dyDescent="0.25">
      <c r="A8" t="s">
        <v>125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I8">
        <v>35</v>
      </c>
      <c r="AJ8">
        <v>36</v>
      </c>
      <c r="AK8">
        <v>37</v>
      </c>
      <c r="AL8">
        <v>38</v>
      </c>
      <c r="AM8">
        <v>39</v>
      </c>
      <c r="AN8">
        <v>40</v>
      </c>
      <c r="AO8">
        <v>41</v>
      </c>
      <c r="AP8">
        <v>42</v>
      </c>
      <c r="AQ8">
        <v>43</v>
      </c>
      <c r="AR8">
        <v>44</v>
      </c>
      <c r="AS8">
        <v>45</v>
      </c>
      <c r="AT8">
        <v>46</v>
      </c>
      <c r="AU8">
        <v>47</v>
      </c>
      <c r="AV8">
        <v>48</v>
      </c>
      <c r="AW8">
        <v>49</v>
      </c>
      <c r="AX8">
        <v>50</v>
      </c>
      <c r="AY8">
        <v>51</v>
      </c>
      <c r="AZ8">
        <v>52</v>
      </c>
      <c r="BA8">
        <v>53</v>
      </c>
      <c r="BB8">
        <v>54</v>
      </c>
      <c r="BC8">
        <v>55</v>
      </c>
      <c r="BD8">
        <v>56</v>
      </c>
      <c r="BE8">
        <v>57</v>
      </c>
      <c r="BF8">
        <v>58</v>
      </c>
      <c r="BG8">
        <v>59</v>
      </c>
      <c r="BH8">
        <v>60</v>
      </c>
      <c r="BI8">
        <v>61</v>
      </c>
      <c r="BJ8">
        <v>62</v>
      </c>
      <c r="BK8">
        <v>63</v>
      </c>
      <c r="BL8">
        <v>64</v>
      </c>
      <c r="BM8">
        <v>65</v>
      </c>
      <c r="BN8">
        <v>66</v>
      </c>
      <c r="BO8">
        <v>67</v>
      </c>
      <c r="BP8">
        <v>68</v>
      </c>
      <c r="BQ8">
        <v>69</v>
      </c>
      <c r="BR8">
        <v>70</v>
      </c>
      <c r="BS8">
        <v>71</v>
      </c>
      <c r="BT8">
        <v>72</v>
      </c>
      <c r="BU8">
        <v>73</v>
      </c>
      <c r="BV8">
        <v>74</v>
      </c>
      <c r="BW8">
        <v>75</v>
      </c>
      <c r="BX8">
        <v>76</v>
      </c>
      <c r="BY8">
        <v>77</v>
      </c>
      <c r="BZ8">
        <v>78</v>
      </c>
      <c r="CA8">
        <v>79</v>
      </c>
      <c r="CB8">
        <v>80</v>
      </c>
      <c r="CC8">
        <v>81</v>
      </c>
      <c r="CD8">
        <v>82</v>
      </c>
      <c r="CE8">
        <v>83</v>
      </c>
      <c r="CF8">
        <v>84</v>
      </c>
      <c r="CG8">
        <v>85</v>
      </c>
      <c r="CH8">
        <v>86</v>
      </c>
      <c r="CI8">
        <v>87</v>
      </c>
      <c r="CJ8">
        <v>88</v>
      </c>
      <c r="CK8">
        <v>89</v>
      </c>
      <c r="CL8">
        <v>90</v>
      </c>
      <c r="CM8">
        <v>91</v>
      </c>
      <c r="CN8">
        <v>92</v>
      </c>
      <c r="CO8">
        <v>93</v>
      </c>
      <c r="CP8">
        <v>94</v>
      </c>
      <c r="CQ8">
        <v>95</v>
      </c>
      <c r="CR8">
        <v>96</v>
      </c>
      <c r="CS8">
        <v>97</v>
      </c>
      <c r="CT8">
        <v>98</v>
      </c>
      <c r="CU8">
        <v>99</v>
      </c>
      <c r="CV8" t="s">
        <v>126</v>
      </c>
    </row>
    <row r="14" spans="1:101" x14ac:dyDescent="0.25">
      <c r="B14">
        <v>1</v>
      </c>
      <c r="C14" s="1">
        <f>B14+1</f>
        <v>2</v>
      </c>
      <c r="D14" s="1">
        <f t="shared" ref="D14:BO14" si="4">C14+1</f>
        <v>3</v>
      </c>
      <c r="E14" s="1">
        <f t="shared" si="4"/>
        <v>4</v>
      </c>
      <c r="F14" s="1">
        <f t="shared" si="4"/>
        <v>5</v>
      </c>
      <c r="G14" s="1">
        <f t="shared" si="4"/>
        <v>6</v>
      </c>
      <c r="H14" s="1">
        <f t="shared" si="4"/>
        <v>7</v>
      </c>
      <c r="I14" s="1">
        <f t="shared" si="4"/>
        <v>8</v>
      </c>
      <c r="J14" s="1">
        <f t="shared" si="4"/>
        <v>9</v>
      </c>
      <c r="K14" s="1">
        <f t="shared" si="4"/>
        <v>10</v>
      </c>
      <c r="L14" s="1">
        <f t="shared" si="4"/>
        <v>11</v>
      </c>
      <c r="M14" s="1">
        <f t="shared" si="4"/>
        <v>12</v>
      </c>
      <c r="N14" s="1">
        <f t="shared" si="4"/>
        <v>13</v>
      </c>
      <c r="O14" s="1">
        <f t="shared" si="4"/>
        <v>14</v>
      </c>
      <c r="P14" s="1">
        <f t="shared" si="4"/>
        <v>15</v>
      </c>
      <c r="Q14" s="1">
        <f t="shared" si="4"/>
        <v>16</v>
      </c>
      <c r="R14" s="1">
        <f t="shared" si="4"/>
        <v>17</v>
      </c>
      <c r="S14" s="1">
        <f t="shared" si="4"/>
        <v>18</v>
      </c>
      <c r="T14" s="1">
        <f t="shared" si="4"/>
        <v>19</v>
      </c>
      <c r="U14" s="1">
        <f t="shared" si="4"/>
        <v>20</v>
      </c>
      <c r="V14" s="1">
        <f t="shared" si="4"/>
        <v>21</v>
      </c>
      <c r="W14" s="1">
        <f t="shared" si="4"/>
        <v>22</v>
      </c>
      <c r="X14" s="1">
        <f t="shared" si="4"/>
        <v>23</v>
      </c>
      <c r="Y14" s="1">
        <f t="shared" si="4"/>
        <v>24</v>
      </c>
      <c r="Z14" s="1">
        <f t="shared" si="4"/>
        <v>25</v>
      </c>
      <c r="AA14" s="1">
        <f t="shared" si="4"/>
        <v>26</v>
      </c>
      <c r="AB14" s="1">
        <f t="shared" si="4"/>
        <v>27</v>
      </c>
      <c r="AC14" s="1">
        <f t="shared" si="4"/>
        <v>28</v>
      </c>
      <c r="AD14" s="1">
        <f t="shared" si="4"/>
        <v>29</v>
      </c>
      <c r="AE14" s="1">
        <f t="shared" si="4"/>
        <v>30</v>
      </c>
      <c r="AF14" s="1">
        <f t="shared" si="4"/>
        <v>31</v>
      </c>
      <c r="AG14" s="1">
        <f t="shared" si="4"/>
        <v>32</v>
      </c>
      <c r="AH14" s="1">
        <f t="shared" si="4"/>
        <v>33</v>
      </c>
      <c r="AI14" s="1">
        <f t="shared" si="4"/>
        <v>34</v>
      </c>
      <c r="AJ14" s="1">
        <f t="shared" si="4"/>
        <v>35</v>
      </c>
      <c r="AK14" s="1">
        <f t="shared" si="4"/>
        <v>36</v>
      </c>
      <c r="AL14" s="1">
        <f t="shared" si="4"/>
        <v>37</v>
      </c>
      <c r="AM14" s="1">
        <f t="shared" si="4"/>
        <v>38</v>
      </c>
      <c r="AN14" s="1">
        <f t="shared" si="4"/>
        <v>39</v>
      </c>
      <c r="AO14" s="1">
        <f t="shared" si="4"/>
        <v>40</v>
      </c>
      <c r="AP14" s="1">
        <f t="shared" si="4"/>
        <v>41</v>
      </c>
      <c r="AQ14" s="1">
        <f t="shared" si="4"/>
        <v>42</v>
      </c>
      <c r="AR14" s="1">
        <f t="shared" si="4"/>
        <v>43</v>
      </c>
      <c r="AS14" s="1">
        <f t="shared" si="4"/>
        <v>44</v>
      </c>
      <c r="AT14" s="1">
        <f t="shared" si="4"/>
        <v>45</v>
      </c>
      <c r="AU14" s="1">
        <f t="shared" si="4"/>
        <v>46</v>
      </c>
      <c r="AV14" s="1">
        <f t="shared" si="4"/>
        <v>47</v>
      </c>
      <c r="AW14" s="1">
        <f t="shared" si="4"/>
        <v>48</v>
      </c>
      <c r="AX14" s="1">
        <f t="shared" si="4"/>
        <v>49</v>
      </c>
      <c r="AY14" s="1">
        <f t="shared" si="4"/>
        <v>50</v>
      </c>
      <c r="AZ14" s="1">
        <f t="shared" si="4"/>
        <v>51</v>
      </c>
      <c r="BA14" s="1">
        <f t="shared" si="4"/>
        <v>52</v>
      </c>
      <c r="BB14" s="1">
        <f t="shared" si="4"/>
        <v>53</v>
      </c>
      <c r="BC14" s="1">
        <f t="shared" si="4"/>
        <v>54</v>
      </c>
      <c r="BD14" s="1">
        <f t="shared" si="4"/>
        <v>55</v>
      </c>
      <c r="BE14" s="1">
        <f t="shared" si="4"/>
        <v>56</v>
      </c>
      <c r="BF14" s="1">
        <f t="shared" si="4"/>
        <v>57</v>
      </c>
      <c r="BG14" s="1">
        <f t="shared" si="4"/>
        <v>58</v>
      </c>
      <c r="BH14" s="1">
        <f t="shared" si="4"/>
        <v>59</v>
      </c>
      <c r="BI14" s="1">
        <f t="shared" si="4"/>
        <v>60</v>
      </c>
      <c r="BJ14" s="1">
        <f t="shared" si="4"/>
        <v>61</v>
      </c>
      <c r="BK14" s="1">
        <f t="shared" si="4"/>
        <v>62</v>
      </c>
      <c r="BL14" s="1">
        <f t="shared" si="4"/>
        <v>63</v>
      </c>
      <c r="BM14" s="1">
        <f t="shared" si="4"/>
        <v>64</v>
      </c>
      <c r="BN14" s="1">
        <f t="shared" si="4"/>
        <v>65</v>
      </c>
      <c r="BO14" s="1">
        <f t="shared" si="4"/>
        <v>66</v>
      </c>
      <c r="BP14" s="1">
        <f t="shared" ref="BP14:CV14" si="5">BO14+1</f>
        <v>67</v>
      </c>
      <c r="BQ14" s="1">
        <f t="shared" si="5"/>
        <v>68</v>
      </c>
      <c r="BR14" s="1">
        <f t="shared" si="5"/>
        <v>69</v>
      </c>
      <c r="BS14" s="1">
        <f t="shared" si="5"/>
        <v>70</v>
      </c>
      <c r="BT14" s="1">
        <f t="shared" si="5"/>
        <v>71</v>
      </c>
      <c r="BU14" s="1">
        <f t="shared" si="5"/>
        <v>72</v>
      </c>
      <c r="BV14" s="1">
        <f t="shared" si="5"/>
        <v>73</v>
      </c>
      <c r="BW14" s="1">
        <f t="shared" si="5"/>
        <v>74</v>
      </c>
      <c r="BX14" s="1">
        <f t="shared" si="5"/>
        <v>75</v>
      </c>
      <c r="BY14" s="1">
        <f t="shared" si="5"/>
        <v>76</v>
      </c>
      <c r="BZ14" s="1">
        <f t="shared" si="5"/>
        <v>77</v>
      </c>
      <c r="CA14" s="1">
        <f t="shared" si="5"/>
        <v>78</v>
      </c>
      <c r="CB14" s="1">
        <f t="shared" si="5"/>
        <v>79</v>
      </c>
      <c r="CC14" s="1">
        <f t="shared" si="5"/>
        <v>80</v>
      </c>
      <c r="CD14" s="1">
        <f t="shared" si="5"/>
        <v>81</v>
      </c>
      <c r="CE14" s="1">
        <f t="shared" si="5"/>
        <v>82</v>
      </c>
      <c r="CF14" s="1">
        <f t="shared" si="5"/>
        <v>83</v>
      </c>
      <c r="CG14" s="1">
        <f t="shared" si="5"/>
        <v>84</v>
      </c>
      <c r="CH14" s="1">
        <f t="shared" si="5"/>
        <v>85</v>
      </c>
      <c r="CI14" s="1">
        <f t="shared" si="5"/>
        <v>86</v>
      </c>
      <c r="CJ14" s="1">
        <f t="shared" si="5"/>
        <v>87</v>
      </c>
      <c r="CK14" s="1">
        <f t="shared" si="5"/>
        <v>88</v>
      </c>
      <c r="CL14" s="1">
        <f t="shared" si="5"/>
        <v>89</v>
      </c>
      <c r="CM14" s="1">
        <f t="shared" si="5"/>
        <v>90</v>
      </c>
      <c r="CN14" s="1">
        <f t="shared" si="5"/>
        <v>91</v>
      </c>
      <c r="CO14" s="1">
        <f t="shared" si="5"/>
        <v>92</v>
      </c>
      <c r="CP14" s="1">
        <f t="shared" si="5"/>
        <v>93</v>
      </c>
      <c r="CQ14" s="1">
        <f t="shared" si="5"/>
        <v>94</v>
      </c>
      <c r="CR14" s="1">
        <f t="shared" si="5"/>
        <v>95</v>
      </c>
      <c r="CS14" s="1">
        <f t="shared" si="5"/>
        <v>96</v>
      </c>
      <c r="CT14" s="1">
        <f t="shared" si="5"/>
        <v>97</v>
      </c>
      <c r="CU14" s="1">
        <f t="shared" si="5"/>
        <v>98</v>
      </c>
      <c r="CV14" s="1">
        <f t="shared" si="5"/>
        <v>99</v>
      </c>
      <c r="CW14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10"/>
  <sheetViews>
    <sheetView topLeftCell="B1" workbookViewId="0">
      <selection activeCell="B10" sqref="B10"/>
    </sheetView>
  </sheetViews>
  <sheetFormatPr defaultRowHeight="15" x14ac:dyDescent="0.25"/>
  <cols>
    <col min="1" max="1" width="34.28515625" bestFit="1" customWidth="1"/>
    <col min="2" max="2" width="3" bestFit="1" customWidth="1"/>
    <col min="3" max="20" width="4" bestFit="1" customWidth="1"/>
    <col min="21" max="21" width="5" bestFit="1" customWidth="1"/>
    <col min="22" max="22" width="4" bestFit="1" customWidth="1"/>
    <col min="23" max="23" width="5" bestFit="1" customWidth="1"/>
    <col min="24" max="24" width="4" bestFit="1" customWidth="1"/>
    <col min="25" max="25" width="5" bestFit="1" customWidth="1"/>
    <col min="26" max="26" width="4" bestFit="1" customWidth="1"/>
    <col min="27" max="27" width="5" bestFit="1" customWidth="1"/>
    <col min="28" max="28" width="4" bestFit="1" customWidth="1"/>
    <col min="29" max="29" width="5" bestFit="1" customWidth="1"/>
    <col min="30" max="30" width="4" bestFit="1" customWidth="1"/>
    <col min="31" max="100" width="5" bestFit="1" customWidth="1"/>
    <col min="101" max="101" width="5.5703125" bestFit="1" customWidth="1"/>
  </cols>
  <sheetData>
    <row r="1" spans="1:101" x14ac:dyDescent="0.25">
      <c r="A1" t="s">
        <v>101</v>
      </c>
      <c r="B1">
        <v>7</v>
      </c>
      <c r="C1">
        <v>10</v>
      </c>
      <c r="D1">
        <v>14</v>
      </c>
      <c r="E1">
        <v>18</v>
      </c>
      <c r="F1">
        <v>21</v>
      </c>
      <c r="G1">
        <v>24</v>
      </c>
      <c r="H1">
        <v>28</v>
      </c>
      <c r="I1">
        <v>32</v>
      </c>
      <c r="J1">
        <v>35</v>
      </c>
      <c r="K1">
        <v>38</v>
      </c>
      <c r="L1">
        <v>42</v>
      </c>
      <c r="M1">
        <v>46</v>
      </c>
      <c r="N1">
        <v>49</v>
      </c>
      <c r="O1">
        <v>52</v>
      </c>
      <c r="P1">
        <v>56</v>
      </c>
      <c r="Q1">
        <v>60</v>
      </c>
      <c r="R1">
        <v>63</v>
      </c>
      <c r="S1">
        <v>66</v>
      </c>
      <c r="T1">
        <v>70</v>
      </c>
      <c r="U1">
        <v>74</v>
      </c>
      <c r="V1">
        <v>77</v>
      </c>
      <c r="W1">
        <v>80</v>
      </c>
      <c r="X1">
        <v>84</v>
      </c>
      <c r="Y1">
        <v>88</v>
      </c>
      <c r="Z1">
        <v>91</v>
      </c>
      <c r="AA1">
        <v>94</v>
      </c>
      <c r="AB1">
        <v>98</v>
      </c>
      <c r="AC1">
        <v>102</v>
      </c>
      <c r="AD1">
        <v>105</v>
      </c>
      <c r="AE1">
        <v>108</v>
      </c>
      <c r="AF1">
        <v>112</v>
      </c>
      <c r="AG1">
        <v>116</v>
      </c>
      <c r="AH1">
        <v>119</v>
      </c>
      <c r="AI1">
        <v>122</v>
      </c>
      <c r="AJ1">
        <v>126</v>
      </c>
      <c r="AK1">
        <v>130</v>
      </c>
      <c r="AL1">
        <v>133</v>
      </c>
      <c r="AM1">
        <v>136</v>
      </c>
      <c r="AN1">
        <v>140</v>
      </c>
      <c r="AO1">
        <v>144</v>
      </c>
      <c r="AP1">
        <v>147</v>
      </c>
      <c r="AQ1">
        <v>150</v>
      </c>
      <c r="AR1">
        <v>154</v>
      </c>
      <c r="AS1">
        <v>158</v>
      </c>
      <c r="AT1">
        <v>161</v>
      </c>
      <c r="AU1">
        <v>164</v>
      </c>
      <c r="AV1">
        <v>168</v>
      </c>
      <c r="AW1">
        <v>172</v>
      </c>
      <c r="AX1">
        <v>175</v>
      </c>
      <c r="AY1">
        <v>178</v>
      </c>
      <c r="AZ1">
        <v>182</v>
      </c>
      <c r="BA1">
        <v>186</v>
      </c>
      <c r="BB1">
        <v>189</v>
      </c>
      <c r="BC1">
        <v>192</v>
      </c>
      <c r="BD1">
        <v>196</v>
      </c>
      <c r="BE1">
        <v>200</v>
      </c>
      <c r="BF1">
        <v>203</v>
      </c>
      <c r="BG1">
        <v>206</v>
      </c>
      <c r="BH1">
        <v>210</v>
      </c>
      <c r="BI1">
        <v>214</v>
      </c>
      <c r="BJ1">
        <v>217</v>
      </c>
      <c r="BK1">
        <v>220</v>
      </c>
      <c r="BL1">
        <v>224</v>
      </c>
      <c r="BM1">
        <v>228</v>
      </c>
      <c r="BN1">
        <v>231</v>
      </c>
      <c r="BO1">
        <v>234</v>
      </c>
      <c r="BP1">
        <v>238</v>
      </c>
      <c r="BQ1">
        <v>242</v>
      </c>
      <c r="BR1">
        <v>245</v>
      </c>
      <c r="BS1">
        <v>248</v>
      </c>
      <c r="BT1">
        <v>252</v>
      </c>
      <c r="BU1">
        <v>256</v>
      </c>
      <c r="BV1">
        <v>259</v>
      </c>
      <c r="BW1">
        <v>262</v>
      </c>
      <c r="BX1">
        <v>266</v>
      </c>
      <c r="BY1">
        <v>270</v>
      </c>
      <c r="BZ1">
        <v>273</v>
      </c>
      <c r="CA1">
        <v>276</v>
      </c>
      <c r="CB1">
        <v>280</v>
      </c>
      <c r="CC1">
        <v>284</v>
      </c>
      <c r="CD1">
        <v>287</v>
      </c>
      <c r="CE1">
        <v>290</v>
      </c>
      <c r="CF1">
        <v>294</v>
      </c>
      <c r="CG1">
        <v>298</v>
      </c>
      <c r="CH1">
        <v>301</v>
      </c>
      <c r="CI1">
        <v>304</v>
      </c>
      <c r="CJ1">
        <v>308</v>
      </c>
      <c r="CK1">
        <v>312</v>
      </c>
      <c r="CL1">
        <v>315</v>
      </c>
      <c r="CM1">
        <v>318</v>
      </c>
      <c r="CN1">
        <v>322</v>
      </c>
      <c r="CO1">
        <v>326</v>
      </c>
      <c r="CP1">
        <v>329</v>
      </c>
      <c r="CQ1">
        <v>332</v>
      </c>
      <c r="CR1">
        <v>336</v>
      </c>
      <c r="CS1">
        <v>340</v>
      </c>
      <c r="CT1">
        <v>343</v>
      </c>
      <c r="CU1">
        <v>346</v>
      </c>
      <c r="CV1">
        <v>350</v>
      </c>
      <c r="CW1" t="s">
        <v>108</v>
      </c>
    </row>
    <row r="2" spans="1:101" x14ac:dyDescent="0.25">
      <c r="A2" t="s">
        <v>102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>
        <v>350</v>
      </c>
      <c r="CW2" t="s">
        <v>108</v>
      </c>
    </row>
    <row r="3" spans="1:101" x14ac:dyDescent="0.25">
      <c r="A3" t="s">
        <v>103</v>
      </c>
      <c r="B3">
        <v>9</v>
      </c>
      <c r="C3">
        <v>14</v>
      </c>
      <c r="D3">
        <v>18</v>
      </c>
      <c r="E3">
        <v>23</v>
      </c>
      <c r="F3">
        <v>27</v>
      </c>
      <c r="G3">
        <v>32</v>
      </c>
      <c r="H3">
        <v>36</v>
      </c>
      <c r="I3">
        <v>41</v>
      </c>
      <c r="J3">
        <v>45</v>
      </c>
      <c r="K3">
        <v>50</v>
      </c>
      <c r="L3">
        <v>54</v>
      </c>
      <c r="M3">
        <v>59</v>
      </c>
      <c r="N3">
        <v>63</v>
      </c>
      <c r="O3">
        <v>68</v>
      </c>
      <c r="P3">
        <v>72</v>
      </c>
      <c r="Q3">
        <v>77</v>
      </c>
      <c r="R3">
        <v>81</v>
      </c>
      <c r="S3">
        <v>86</v>
      </c>
      <c r="T3">
        <v>90</v>
      </c>
      <c r="U3">
        <v>95</v>
      </c>
      <c r="V3">
        <v>99</v>
      </c>
      <c r="W3">
        <v>104</v>
      </c>
      <c r="X3">
        <v>108</v>
      </c>
      <c r="Y3">
        <v>113</v>
      </c>
      <c r="Z3">
        <v>117</v>
      </c>
      <c r="AA3">
        <v>122</v>
      </c>
      <c r="AB3">
        <v>126</v>
      </c>
      <c r="AC3">
        <v>131</v>
      </c>
      <c r="AD3">
        <v>135</v>
      </c>
      <c r="AE3">
        <v>140</v>
      </c>
      <c r="AF3">
        <v>144</v>
      </c>
      <c r="AG3">
        <v>149</v>
      </c>
      <c r="AH3">
        <v>153</v>
      </c>
      <c r="AI3">
        <v>158</v>
      </c>
      <c r="AJ3">
        <v>162</v>
      </c>
      <c r="AK3">
        <v>167</v>
      </c>
      <c r="AL3">
        <v>171</v>
      </c>
      <c r="AM3">
        <v>176</v>
      </c>
      <c r="AN3">
        <v>180</v>
      </c>
      <c r="AO3">
        <v>185</v>
      </c>
      <c r="AP3">
        <v>189</v>
      </c>
      <c r="AQ3">
        <v>194</v>
      </c>
      <c r="AR3">
        <v>198</v>
      </c>
      <c r="AS3">
        <v>203</v>
      </c>
      <c r="AT3">
        <v>207</v>
      </c>
      <c r="AU3">
        <v>212</v>
      </c>
      <c r="AV3">
        <v>216</v>
      </c>
      <c r="AW3">
        <v>221</v>
      </c>
      <c r="AX3">
        <v>225</v>
      </c>
      <c r="AY3">
        <v>230</v>
      </c>
      <c r="AZ3">
        <v>234</v>
      </c>
      <c r="BA3">
        <v>239</v>
      </c>
      <c r="BB3">
        <v>243</v>
      </c>
      <c r="BC3">
        <v>248</v>
      </c>
      <c r="BD3">
        <v>252</v>
      </c>
      <c r="BE3">
        <v>257</v>
      </c>
      <c r="BF3">
        <v>261</v>
      </c>
      <c r="BG3">
        <v>266</v>
      </c>
      <c r="BH3">
        <v>270</v>
      </c>
      <c r="BI3">
        <v>275</v>
      </c>
      <c r="BJ3">
        <v>279</v>
      </c>
      <c r="BK3">
        <v>284</v>
      </c>
      <c r="BL3">
        <v>288</v>
      </c>
      <c r="BM3">
        <v>293</v>
      </c>
      <c r="BN3">
        <v>297</v>
      </c>
      <c r="BO3">
        <v>302</v>
      </c>
      <c r="BP3">
        <v>306</v>
      </c>
      <c r="BQ3">
        <v>311</v>
      </c>
      <c r="BR3">
        <v>315</v>
      </c>
      <c r="BS3">
        <v>320</v>
      </c>
      <c r="BT3">
        <v>324</v>
      </c>
      <c r="BU3">
        <v>329</v>
      </c>
      <c r="BV3">
        <v>333</v>
      </c>
      <c r="BW3">
        <v>338</v>
      </c>
      <c r="BX3">
        <v>342</v>
      </c>
      <c r="BY3">
        <v>347</v>
      </c>
      <c r="BZ3">
        <v>351</v>
      </c>
      <c r="CA3">
        <v>356</v>
      </c>
      <c r="CB3">
        <v>360</v>
      </c>
      <c r="CC3">
        <v>365</v>
      </c>
      <c r="CD3">
        <v>369</v>
      </c>
      <c r="CE3">
        <v>374</v>
      </c>
      <c r="CF3">
        <v>378</v>
      </c>
      <c r="CG3">
        <v>383</v>
      </c>
      <c r="CH3">
        <v>387</v>
      </c>
      <c r="CI3">
        <v>392</v>
      </c>
      <c r="CJ3">
        <v>396</v>
      </c>
      <c r="CK3">
        <v>401</v>
      </c>
      <c r="CL3">
        <v>405</v>
      </c>
      <c r="CM3">
        <v>410</v>
      </c>
      <c r="CN3">
        <v>414</v>
      </c>
      <c r="CO3">
        <v>419</v>
      </c>
      <c r="CP3">
        <v>423</v>
      </c>
      <c r="CQ3">
        <v>428</v>
      </c>
      <c r="CR3">
        <v>432</v>
      </c>
      <c r="CS3">
        <v>437</v>
      </c>
      <c r="CT3">
        <v>441</v>
      </c>
      <c r="CU3">
        <v>446</v>
      </c>
      <c r="CV3">
        <v>450</v>
      </c>
      <c r="CW3" t="s">
        <v>109</v>
      </c>
    </row>
    <row r="4" spans="1:101" x14ac:dyDescent="0.25">
      <c r="A4" t="s">
        <v>104</v>
      </c>
      <c r="B4">
        <v>64</v>
      </c>
      <c r="C4">
        <v>96</v>
      </c>
      <c r="D4">
        <v>128</v>
      </c>
      <c r="E4">
        <v>160</v>
      </c>
      <c r="F4">
        <v>192</v>
      </c>
      <c r="G4">
        <v>224</v>
      </c>
      <c r="H4">
        <v>256</v>
      </c>
      <c r="I4">
        <v>288</v>
      </c>
      <c r="J4">
        <v>320</v>
      </c>
      <c r="K4">
        <v>352</v>
      </c>
      <c r="L4">
        <v>384</v>
      </c>
      <c r="M4">
        <v>416</v>
      </c>
      <c r="N4">
        <v>448</v>
      </c>
      <c r="O4">
        <v>480</v>
      </c>
      <c r="P4">
        <v>512</v>
      </c>
      <c r="Q4">
        <v>544</v>
      </c>
      <c r="R4">
        <v>576</v>
      </c>
      <c r="S4">
        <v>608</v>
      </c>
      <c r="T4">
        <v>640</v>
      </c>
      <c r="U4">
        <v>672</v>
      </c>
      <c r="V4">
        <v>704</v>
      </c>
      <c r="W4">
        <v>736</v>
      </c>
      <c r="X4">
        <v>768</v>
      </c>
      <c r="Y4">
        <v>800</v>
      </c>
      <c r="Z4">
        <v>832</v>
      </c>
      <c r="AA4">
        <v>864</v>
      </c>
      <c r="AB4">
        <v>896</v>
      </c>
      <c r="AC4">
        <v>928</v>
      </c>
      <c r="AD4">
        <v>960</v>
      </c>
      <c r="AE4">
        <v>992</v>
      </c>
      <c r="AF4">
        <v>1024</v>
      </c>
      <c r="AG4">
        <v>1056</v>
      </c>
      <c r="AH4">
        <v>1088</v>
      </c>
      <c r="AI4">
        <v>1120</v>
      </c>
      <c r="AJ4">
        <v>1152</v>
      </c>
      <c r="AK4">
        <v>1184</v>
      </c>
      <c r="AL4">
        <v>1216</v>
      </c>
      <c r="AM4">
        <v>1248</v>
      </c>
      <c r="AN4">
        <v>1280</v>
      </c>
      <c r="AO4">
        <v>1312</v>
      </c>
      <c r="AP4">
        <v>1344</v>
      </c>
      <c r="AQ4">
        <v>1376</v>
      </c>
      <c r="AR4">
        <v>1408</v>
      </c>
      <c r="AS4">
        <v>1440</v>
      </c>
      <c r="AT4">
        <v>1472</v>
      </c>
      <c r="AU4">
        <v>1504</v>
      </c>
      <c r="AV4">
        <v>1536</v>
      </c>
      <c r="AW4">
        <v>1568</v>
      </c>
      <c r="AX4">
        <v>1600</v>
      </c>
      <c r="AY4">
        <v>1632</v>
      </c>
      <c r="AZ4">
        <v>1664</v>
      </c>
      <c r="BA4">
        <v>1696</v>
      </c>
      <c r="BB4">
        <v>1728</v>
      </c>
      <c r="BC4">
        <v>1760</v>
      </c>
      <c r="BD4">
        <v>1792</v>
      </c>
      <c r="BE4">
        <v>1824</v>
      </c>
      <c r="BF4">
        <v>1856</v>
      </c>
      <c r="BG4">
        <v>1888</v>
      </c>
      <c r="BH4">
        <v>1920</v>
      </c>
      <c r="BI4">
        <v>1952</v>
      </c>
      <c r="BJ4">
        <v>1984</v>
      </c>
      <c r="BK4">
        <v>2016</v>
      </c>
      <c r="BL4">
        <v>2048</v>
      </c>
      <c r="BM4">
        <v>2080</v>
      </c>
      <c r="BN4">
        <v>2112</v>
      </c>
      <c r="BO4">
        <v>2144</v>
      </c>
      <c r="BP4">
        <v>2176</v>
      </c>
      <c r="BQ4">
        <v>2208</v>
      </c>
      <c r="BR4">
        <v>2240</v>
      </c>
      <c r="BS4">
        <v>2272</v>
      </c>
      <c r="BT4">
        <v>2304</v>
      </c>
      <c r="BU4">
        <v>2336</v>
      </c>
      <c r="BV4">
        <v>2368</v>
      </c>
      <c r="BW4">
        <v>2400</v>
      </c>
      <c r="BX4">
        <v>2432</v>
      </c>
      <c r="BY4">
        <v>2464</v>
      </c>
      <c r="BZ4">
        <v>2496</v>
      </c>
      <c r="CA4">
        <v>2528</v>
      </c>
      <c r="CB4">
        <v>2560</v>
      </c>
      <c r="CC4">
        <v>2592</v>
      </c>
      <c r="CD4">
        <v>2624</v>
      </c>
      <c r="CE4">
        <v>2656</v>
      </c>
      <c r="CF4">
        <v>2688</v>
      </c>
      <c r="CG4">
        <v>2720</v>
      </c>
      <c r="CH4">
        <v>2752</v>
      </c>
      <c r="CI4">
        <v>2784</v>
      </c>
      <c r="CJ4">
        <v>2816</v>
      </c>
      <c r="CK4">
        <v>2848</v>
      </c>
      <c r="CL4">
        <v>2880</v>
      </c>
      <c r="CM4">
        <v>2912</v>
      </c>
      <c r="CN4">
        <v>2944</v>
      </c>
      <c r="CO4">
        <v>2976</v>
      </c>
      <c r="CP4">
        <v>3008</v>
      </c>
      <c r="CQ4">
        <v>3040</v>
      </c>
      <c r="CR4">
        <v>3072</v>
      </c>
      <c r="CS4">
        <v>3104</v>
      </c>
      <c r="CT4">
        <v>3136</v>
      </c>
      <c r="CU4">
        <v>3168</v>
      </c>
      <c r="CV4">
        <v>3200</v>
      </c>
      <c r="CW4" t="s">
        <v>110</v>
      </c>
    </row>
    <row r="5" spans="1:101" x14ac:dyDescent="0.25">
      <c r="A5" t="s">
        <v>105</v>
      </c>
      <c r="B5">
        <v>44</v>
      </c>
      <c r="C5">
        <v>66</v>
      </c>
      <c r="D5">
        <v>88</v>
      </c>
      <c r="E5">
        <v>110</v>
      </c>
      <c r="F5">
        <v>132</v>
      </c>
      <c r="G5">
        <v>154</v>
      </c>
      <c r="H5">
        <v>176</v>
      </c>
      <c r="I5">
        <v>198</v>
      </c>
      <c r="J5">
        <v>220</v>
      </c>
      <c r="K5">
        <v>242</v>
      </c>
      <c r="L5">
        <v>264</v>
      </c>
      <c r="M5">
        <v>286</v>
      </c>
      <c r="N5">
        <v>308</v>
      </c>
      <c r="O5">
        <v>330</v>
      </c>
      <c r="P5">
        <v>352</v>
      </c>
      <c r="Q5">
        <v>374</v>
      </c>
      <c r="R5">
        <v>396</v>
      </c>
      <c r="S5">
        <v>418</v>
      </c>
      <c r="T5">
        <v>440</v>
      </c>
      <c r="U5">
        <v>462</v>
      </c>
      <c r="V5">
        <v>484</v>
      </c>
      <c r="W5">
        <v>506</v>
      </c>
      <c r="X5">
        <v>528</v>
      </c>
      <c r="Y5">
        <v>550</v>
      </c>
      <c r="Z5">
        <v>572</v>
      </c>
      <c r="AA5">
        <v>594</v>
      </c>
      <c r="AB5">
        <v>616</v>
      </c>
      <c r="AC5">
        <v>638</v>
      </c>
      <c r="AD5">
        <v>660</v>
      </c>
      <c r="AE5">
        <v>682</v>
      </c>
      <c r="AF5">
        <v>704</v>
      </c>
      <c r="AG5">
        <v>726</v>
      </c>
      <c r="AH5">
        <v>748</v>
      </c>
      <c r="AI5">
        <v>770</v>
      </c>
      <c r="AJ5">
        <v>792</v>
      </c>
      <c r="AK5">
        <v>814</v>
      </c>
      <c r="AL5">
        <v>836</v>
      </c>
      <c r="AM5">
        <v>858</v>
      </c>
      <c r="AN5">
        <v>880</v>
      </c>
      <c r="AO5">
        <v>902</v>
      </c>
      <c r="AP5">
        <v>924</v>
      </c>
      <c r="AQ5">
        <v>946</v>
      </c>
      <c r="AR5">
        <v>968</v>
      </c>
      <c r="AS5">
        <v>990</v>
      </c>
      <c r="AT5">
        <v>1012</v>
      </c>
      <c r="AU5">
        <v>1034</v>
      </c>
      <c r="AV5">
        <v>1056</v>
      </c>
      <c r="AW5">
        <v>1078</v>
      </c>
      <c r="AX5">
        <v>1100</v>
      </c>
      <c r="AY5">
        <v>1122</v>
      </c>
      <c r="AZ5">
        <v>1144</v>
      </c>
      <c r="BA5">
        <v>1166</v>
      </c>
      <c r="BB5">
        <v>1188</v>
      </c>
      <c r="BC5">
        <v>1210</v>
      </c>
      <c r="BD5">
        <v>1232</v>
      </c>
      <c r="BE5">
        <v>1254</v>
      </c>
      <c r="BF5">
        <v>1276</v>
      </c>
      <c r="BG5">
        <v>1298</v>
      </c>
      <c r="BH5">
        <v>1320</v>
      </c>
      <c r="BI5">
        <v>1342</v>
      </c>
      <c r="BJ5">
        <v>1364</v>
      </c>
      <c r="BK5">
        <v>1386</v>
      </c>
      <c r="BL5">
        <v>1408</v>
      </c>
      <c r="BM5">
        <v>1430</v>
      </c>
      <c r="BN5">
        <v>1452</v>
      </c>
      <c r="BO5">
        <v>1474</v>
      </c>
      <c r="BP5">
        <v>1496</v>
      </c>
      <c r="BQ5">
        <v>1518</v>
      </c>
      <c r="BR5">
        <v>1540</v>
      </c>
      <c r="BS5">
        <v>1562</v>
      </c>
      <c r="BT5">
        <v>1584</v>
      </c>
      <c r="BU5">
        <v>1606</v>
      </c>
      <c r="BV5">
        <v>1628</v>
      </c>
      <c r="BW5">
        <v>1650</v>
      </c>
      <c r="BX5">
        <v>1672</v>
      </c>
      <c r="BY5">
        <v>1694</v>
      </c>
      <c r="BZ5">
        <v>1716</v>
      </c>
      <c r="CA5">
        <v>1738</v>
      </c>
      <c r="CB5">
        <v>1760</v>
      </c>
      <c r="CC5">
        <v>1782</v>
      </c>
      <c r="CD5">
        <v>1804</v>
      </c>
      <c r="CE5">
        <v>1826</v>
      </c>
      <c r="CF5">
        <v>1848</v>
      </c>
      <c r="CG5">
        <v>1870</v>
      </c>
      <c r="CH5">
        <v>1892</v>
      </c>
      <c r="CI5">
        <v>1914</v>
      </c>
      <c r="CJ5">
        <v>1936</v>
      </c>
      <c r="CK5">
        <v>1958</v>
      </c>
      <c r="CL5">
        <v>1980</v>
      </c>
      <c r="CM5">
        <v>2002</v>
      </c>
      <c r="CN5">
        <v>2024</v>
      </c>
      <c r="CO5">
        <v>2046</v>
      </c>
      <c r="CP5">
        <v>2068</v>
      </c>
      <c r="CQ5">
        <v>2090</v>
      </c>
      <c r="CR5">
        <v>2112</v>
      </c>
      <c r="CS5">
        <v>2134</v>
      </c>
      <c r="CT5">
        <v>2156</v>
      </c>
      <c r="CU5">
        <v>2178</v>
      </c>
      <c r="CV5">
        <v>2200</v>
      </c>
      <c r="CW5" t="s">
        <v>111</v>
      </c>
    </row>
    <row r="6" spans="1:101" x14ac:dyDescent="0.25">
      <c r="A6" t="s">
        <v>106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  <c r="AN6">
        <v>40</v>
      </c>
      <c r="AO6">
        <v>41</v>
      </c>
      <c r="AP6">
        <v>42</v>
      </c>
      <c r="AQ6">
        <v>43</v>
      </c>
      <c r="AR6">
        <v>44</v>
      </c>
      <c r="AS6">
        <v>45</v>
      </c>
      <c r="AT6">
        <v>46</v>
      </c>
      <c r="AU6">
        <v>47</v>
      </c>
      <c r="AV6">
        <v>48</v>
      </c>
      <c r="AW6">
        <v>49</v>
      </c>
      <c r="AX6">
        <v>50</v>
      </c>
      <c r="AY6">
        <f>AX6+0.5</f>
        <v>50.5</v>
      </c>
      <c r="AZ6">
        <f t="shared" ref="AZ6:BU6" si="0">AY6+0.5</f>
        <v>51</v>
      </c>
      <c r="BA6">
        <f t="shared" si="0"/>
        <v>51.5</v>
      </c>
      <c r="BB6">
        <f t="shared" si="0"/>
        <v>52</v>
      </c>
      <c r="BC6">
        <f t="shared" si="0"/>
        <v>52.5</v>
      </c>
      <c r="BD6">
        <f t="shared" si="0"/>
        <v>53</v>
      </c>
      <c r="BE6">
        <f t="shared" si="0"/>
        <v>53.5</v>
      </c>
      <c r="BF6">
        <f t="shared" si="0"/>
        <v>54</v>
      </c>
      <c r="BG6">
        <f t="shared" si="0"/>
        <v>54.5</v>
      </c>
      <c r="BH6">
        <f t="shared" si="0"/>
        <v>55</v>
      </c>
      <c r="BI6">
        <f t="shared" si="0"/>
        <v>55.5</v>
      </c>
      <c r="BJ6">
        <f t="shared" si="0"/>
        <v>56</v>
      </c>
      <c r="BK6">
        <f t="shared" si="0"/>
        <v>56.5</v>
      </c>
      <c r="BL6">
        <f t="shared" si="0"/>
        <v>57</v>
      </c>
      <c r="BM6">
        <f t="shared" si="0"/>
        <v>57.5</v>
      </c>
      <c r="BN6">
        <f t="shared" si="0"/>
        <v>58</v>
      </c>
      <c r="BO6">
        <f t="shared" si="0"/>
        <v>58.5</v>
      </c>
      <c r="BP6">
        <f t="shared" si="0"/>
        <v>59</v>
      </c>
      <c r="BQ6">
        <f t="shared" si="0"/>
        <v>59.5</v>
      </c>
      <c r="BR6">
        <f t="shared" si="0"/>
        <v>60</v>
      </c>
      <c r="BS6">
        <f t="shared" si="0"/>
        <v>60.5</v>
      </c>
      <c r="BT6">
        <f t="shared" si="0"/>
        <v>61</v>
      </c>
      <c r="BU6">
        <f t="shared" si="0"/>
        <v>61.5</v>
      </c>
      <c r="BV6">
        <f>BU6+0.25</f>
        <v>61.75</v>
      </c>
      <c r="BW6">
        <f t="shared" ref="BW6:CV6" si="1">BV6+0.25</f>
        <v>62</v>
      </c>
      <c r="BX6">
        <f t="shared" si="1"/>
        <v>62.25</v>
      </c>
      <c r="BY6">
        <f t="shared" si="1"/>
        <v>62.5</v>
      </c>
      <c r="BZ6">
        <f t="shared" si="1"/>
        <v>62.75</v>
      </c>
      <c r="CA6">
        <f t="shared" si="1"/>
        <v>63</v>
      </c>
      <c r="CB6">
        <f t="shared" si="1"/>
        <v>63.25</v>
      </c>
      <c r="CC6">
        <f t="shared" si="1"/>
        <v>63.5</v>
      </c>
      <c r="CD6">
        <f t="shared" si="1"/>
        <v>63.75</v>
      </c>
      <c r="CE6">
        <f t="shared" si="1"/>
        <v>64</v>
      </c>
      <c r="CF6">
        <f t="shared" si="1"/>
        <v>64.25</v>
      </c>
      <c r="CG6">
        <f t="shared" si="1"/>
        <v>64.5</v>
      </c>
      <c r="CH6">
        <f t="shared" si="1"/>
        <v>64.75</v>
      </c>
      <c r="CI6">
        <f t="shared" si="1"/>
        <v>65</v>
      </c>
      <c r="CJ6">
        <f t="shared" si="1"/>
        <v>65.25</v>
      </c>
      <c r="CK6">
        <f t="shared" si="1"/>
        <v>65.5</v>
      </c>
      <c r="CL6">
        <f t="shared" si="1"/>
        <v>65.75</v>
      </c>
      <c r="CM6">
        <f t="shared" si="1"/>
        <v>66</v>
      </c>
      <c r="CN6">
        <f t="shared" si="1"/>
        <v>66.25</v>
      </c>
      <c r="CO6">
        <f t="shared" si="1"/>
        <v>66.5</v>
      </c>
      <c r="CP6">
        <f t="shared" si="1"/>
        <v>66.75</v>
      </c>
      <c r="CQ6">
        <f t="shared" si="1"/>
        <v>67</v>
      </c>
      <c r="CR6">
        <f t="shared" si="1"/>
        <v>67.25</v>
      </c>
      <c r="CS6">
        <f t="shared" si="1"/>
        <v>67.5</v>
      </c>
      <c r="CT6">
        <f t="shared" si="1"/>
        <v>67.75</v>
      </c>
      <c r="CU6">
        <f t="shared" si="1"/>
        <v>68</v>
      </c>
      <c r="CV6">
        <f t="shared" si="1"/>
        <v>68.25</v>
      </c>
      <c r="CW6" t="s">
        <v>112</v>
      </c>
    </row>
    <row r="7" spans="1:101" x14ac:dyDescent="0.25">
      <c r="A7" t="s">
        <v>107</v>
      </c>
      <c r="B7">
        <v>1</v>
      </c>
      <c r="C7">
        <v>1.5</v>
      </c>
      <c r="D7">
        <v>2</v>
      </c>
      <c r="E7">
        <v>2.5</v>
      </c>
      <c r="F7">
        <v>3</v>
      </c>
      <c r="G7">
        <v>3.5</v>
      </c>
      <c r="H7">
        <v>4</v>
      </c>
      <c r="I7">
        <v>4.5</v>
      </c>
      <c r="J7">
        <v>5</v>
      </c>
      <c r="K7">
        <v>5.5</v>
      </c>
      <c r="L7">
        <v>6</v>
      </c>
      <c r="M7">
        <v>6.5</v>
      </c>
      <c r="N7">
        <v>7</v>
      </c>
      <c r="O7">
        <v>7.5</v>
      </c>
      <c r="P7">
        <v>8</v>
      </c>
      <c r="Q7">
        <v>8.5</v>
      </c>
      <c r="R7">
        <v>9</v>
      </c>
      <c r="S7">
        <v>9.5</v>
      </c>
      <c r="T7">
        <v>10</v>
      </c>
      <c r="U7">
        <v>10.5</v>
      </c>
      <c r="V7">
        <v>11</v>
      </c>
      <c r="W7">
        <v>11.5</v>
      </c>
      <c r="X7">
        <v>12</v>
      </c>
      <c r="Y7">
        <v>12.5</v>
      </c>
      <c r="Z7">
        <v>13</v>
      </c>
      <c r="AA7">
        <v>13.5</v>
      </c>
      <c r="AB7">
        <v>14</v>
      </c>
      <c r="AC7">
        <v>14.5</v>
      </c>
      <c r="AD7">
        <v>15</v>
      </c>
      <c r="AE7">
        <v>15.5</v>
      </c>
      <c r="AF7">
        <v>16</v>
      </c>
      <c r="AG7">
        <v>16.5</v>
      </c>
      <c r="AH7">
        <v>17</v>
      </c>
      <c r="AI7">
        <v>17.5</v>
      </c>
      <c r="AJ7">
        <v>18</v>
      </c>
      <c r="AK7">
        <v>18.5</v>
      </c>
      <c r="AL7">
        <v>19</v>
      </c>
      <c r="AM7">
        <v>19.5</v>
      </c>
      <c r="AN7">
        <v>20</v>
      </c>
      <c r="AO7">
        <v>20.5</v>
      </c>
      <c r="AP7">
        <v>21</v>
      </c>
      <c r="AQ7">
        <v>21.5</v>
      </c>
      <c r="AR7">
        <v>22</v>
      </c>
      <c r="AS7">
        <v>22.5</v>
      </c>
      <c r="AT7">
        <v>23</v>
      </c>
      <c r="AU7">
        <v>23.5</v>
      </c>
      <c r="AV7">
        <v>24</v>
      </c>
      <c r="AW7">
        <v>24.5</v>
      </c>
      <c r="AX7">
        <v>25</v>
      </c>
      <c r="AY7">
        <f>AX7+0.25</f>
        <v>25.25</v>
      </c>
      <c r="AZ7">
        <f t="shared" ref="AZ7:BU7" si="2">AY7+0.25</f>
        <v>25.5</v>
      </c>
      <c r="BA7">
        <f t="shared" si="2"/>
        <v>25.75</v>
      </c>
      <c r="BB7">
        <f t="shared" si="2"/>
        <v>26</v>
      </c>
      <c r="BC7">
        <f t="shared" si="2"/>
        <v>26.25</v>
      </c>
      <c r="BD7">
        <f t="shared" si="2"/>
        <v>26.5</v>
      </c>
      <c r="BE7">
        <f t="shared" si="2"/>
        <v>26.75</v>
      </c>
      <c r="BF7">
        <f t="shared" si="2"/>
        <v>27</v>
      </c>
      <c r="BG7">
        <f t="shared" si="2"/>
        <v>27.25</v>
      </c>
      <c r="BH7">
        <f t="shared" si="2"/>
        <v>27.5</v>
      </c>
      <c r="BI7">
        <f t="shared" si="2"/>
        <v>27.75</v>
      </c>
      <c r="BJ7">
        <f t="shared" si="2"/>
        <v>28</v>
      </c>
      <c r="BK7">
        <f t="shared" si="2"/>
        <v>28.25</v>
      </c>
      <c r="BL7">
        <f t="shared" si="2"/>
        <v>28.5</v>
      </c>
      <c r="BM7">
        <f t="shared" si="2"/>
        <v>28.75</v>
      </c>
      <c r="BN7">
        <f t="shared" si="2"/>
        <v>29</v>
      </c>
      <c r="BO7">
        <f t="shared" si="2"/>
        <v>29.25</v>
      </c>
      <c r="BP7">
        <f t="shared" si="2"/>
        <v>29.5</v>
      </c>
      <c r="BQ7">
        <f t="shared" si="2"/>
        <v>29.75</v>
      </c>
      <c r="BR7">
        <f t="shared" si="2"/>
        <v>30</v>
      </c>
      <c r="BS7">
        <f t="shared" si="2"/>
        <v>30.25</v>
      </c>
      <c r="BT7">
        <f t="shared" si="2"/>
        <v>30.5</v>
      </c>
      <c r="BU7">
        <f t="shared" si="2"/>
        <v>30.75</v>
      </c>
      <c r="BV7">
        <f>BU7+0.125</f>
        <v>30.875</v>
      </c>
      <c r="BW7">
        <f t="shared" ref="BW7:CV7" si="3">BV7+0.125</f>
        <v>31</v>
      </c>
      <c r="BX7">
        <f t="shared" si="3"/>
        <v>31.125</v>
      </c>
      <c r="BY7">
        <f t="shared" si="3"/>
        <v>31.25</v>
      </c>
      <c r="BZ7">
        <f t="shared" si="3"/>
        <v>31.375</v>
      </c>
      <c r="CA7">
        <f t="shared" si="3"/>
        <v>31.5</v>
      </c>
      <c r="CB7">
        <f t="shared" si="3"/>
        <v>31.625</v>
      </c>
      <c r="CC7">
        <f t="shared" si="3"/>
        <v>31.75</v>
      </c>
      <c r="CD7">
        <f t="shared" si="3"/>
        <v>31.875</v>
      </c>
      <c r="CE7">
        <f t="shared" si="3"/>
        <v>32</v>
      </c>
      <c r="CF7">
        <f t="shared" si="3"/>
        <v>32.125</v>
      </c>
      <c r="CG7">
        <f t="shared" si="3"/>
        <v>32.25</v>
      </c>
      <c r="CH7">
        <f t="shared" si="3"/>
        <v>32.375</v>
      </c>
      <c r="CI7">
        <f t="shared" si="3"/>
        <v>32.5</v>
      </c>
      <c r="CJ7">
        <f t="shared" si="3"/>
        <v>32.625</v>
      </c>
      <c r="CK7">
        <f t="shared" si="3"/>
        <v>32.75</v>
      </c>
      <c r="CL7">
        <f t="shared" si="3"/>
        <v>32.875</v>
      </c>
      <c r="CM7">
        <f t="shared" si="3"/>
        <v>33</v>
      </c>
      <c r="CN7">
        <f t="shared" si="3"/>
        <v>33.125</v>
      </c>
      <c r="CO7">
        <f t="shared" si="3"/>
        <v>33.25</v>
      </c>
      <c r="CP7">
        <f t="shared" si="3"/>
        <v>33.375</v>
      </c>
      <c r="CQ7">
        <f t="shared" si="3"/>
        <v>33.5</v>
      </c>
      <c r="CR7">
        <f t="shared" si="3"/>
        <v>33.625</v>
      </c>
      <c r="CS7">
        <f t="shared" si="3"/>
        <v>33.75</v>
      </c>
      <c r="CT7">
        <f t="shared" si="3"/>
        <v>33.875</v>
      </c>
      <c r="CU7">
        <f t="shared" si="3"/>
        <v>34</v>
      </c>
      <c r="CV7">
        <f t="shared" si="3"/>
        <v>34.125</v>
      </c>
      <c r="CW7" t="s">
        <v>113</v>
      </c>
    </row>
    <row r="10" spans="1:101" x14ac:dyDescent="0.25">
      <c r="B10">
        <v>1</v>
      </c>
      <c r="C10" s="1">
        <f>B10+1</f>
        <v>2</v>
      </c>
      <c r="D10" s="1">
        <f t="shared" ref="D10:BO10" si="4">C10+1</f>
        <v>3</v>
      </c>
      <c r="E10" s="1">
        <f t="shared" si="4"/>
        <v>4</v>
      </c>
      <c r="F10" s="1">
        <f t="shared" si="4"/>
        <v>5</v>
      </c>
      <c r="G10" s="1">
        <f t="shared" si="4"/>
        <v>6</v>
      </c>
      <c r="H10" s="1">
        <f t="shared" si="4"/>
        <v>7</v>
      </c>
      <c r="I10" s="1">
        <f t="shared" si="4"/>
        <v>8</v>
      </c>
      <c r="J10" s="1">
        <f t="shared" si="4"/>
        <v>9</v>
      </c>
      <c r="K10" s="1">
        <f t="shared" si="4"/>
        <v>10</v>
      </c>
      <c r="L10" s="1">
        <f t="shared" si="4"/>
        <v>11</v>
      </c>
      <c r="M10" s="1">
        <f t="shared" si="4"/>
        <v>12</v>
      </c>
      <c r="N10" s="1">
        <f t="shared" si="4"/>
        <v>13</v>
      </c>
      <c r="O10" s="1">
        <f t="shared" si="4"/>
        <v>14</v>
      </c>
      <c r="P10" s="1">
        <f t="shared" si="4"/>
        <v>15</v>
      </c>
      <c r="Q10" s="1">
        <f t="shared" si="4"/>
        <v>16</v>
      </c>
      <c r="R10" s="1">
        <f t="shared" si="4"/>
        <v>17</v>
      </c>
      <c r="S10" s="1">
        <f t="shared" si="4"/>
        <v>18</v>
      </c>
      <c r="T10" s="1">
        <f t="shared" si="4"/>
        <v>19</v>
      </c>
      <c r="U10" s="1">
        <f t="shared" si="4"/>
        <v>20</v>
      </c>
      <c r="V10" s="1">
        <f t="shared" si="4"/>
        <v>21</v>
      </c>
      <c r="W10" s="1">
        <f t="shared" si="4"/>
        <v>22</v>
      </c>
      <c r="X10" s="1">
        <f t="shared" si="4"/>
        <v>23</v>
      </c>
      <c r="Y10" s="1">
        <f t="shared" si="4"/>
        <v>24</v>
      </c>
      <c r="Z10" s="1">
        <f t="shared" si="4"/>
        <v>25</v>
      </c>
      <c r="AA10" s="1">
        <f t="shared" si="4"/>
        <v>26</v>
      </c>
      <c r="AB10" s="1">
        <f t="shared" si="4"/>
        <v>27</v>
      </c>
      <c r="AC10" s="1">
        <f t="shared" si="4"/>
        <v>28</v>
      </c>
      <c r="AD10" s="1">
        <f t="shared" si="4"/>
        <v>29</v>
      </c>
      <c r="AE10" s="1">
        <f t="shared" si="4"/>
        <v>30</v>
      </c>
      <c r="AF10" s="1">
        <f t="shared" si="4"/>
        <v>31</v>
      </c>
      <c r="AG10" s="1">
        <f t="shared" si="4"/>
        <v>32</v>
      </c>
      <c r="AH10" s="1">
        <f t="shared" si="4"/>
        <v>33</v>
      </c>
      <c r="AI10" s="1">
        <f t="shared" si="4"/>
        <v>34</v>
      </c>
      <c r="AJ10" s="1">
        <f t="shared" si="4"/>
        <v>35</v>
      </c>
      <c r="AK10" s="1">
        <f t="shared" si="4"/>
        <v>36</v>
      </c>
      <c r="AL10" s="1">
        <f t="shared" si="4"/>
        <v>37</v>
      </c>
      <c r="AM10" s="1">
        <f t="shared" si="4"/>
        <v>38</v>
      </c>
      <c r="AN10" s="1">
        <f t="shared" si="4"/>
        <v>39</v>
      </c>
      <c r="AO10" s="1">
        <f t="shared" si="4"/>
        <v>40</v>
      </c>
      <c r="AP10" s="1">
        <f t="shared" si="4"/>
        <v>41</v>
      </c>
      <c r="AQ10" s="1">
        <f t="shared" si="4"/>
        <v>42</v>
      </c>
      <c r="AR10" s="1">
        <f t="shared" si="4"/>
        <v>43</v>
      </c>
      <c r="AS10" s="1">
        <f t="shared" si="4"/>
        <v>44</v>
      </c>
      <c r="AT10" s="1">
        <f t="shared" si="4"/>
        <v>45</v>
      </c>
      <c r="AU10" s="1">
        <f t="shared" si="4"/>
        <v>46</v>
      </c>
      <c r="AV10" s="1">
        <f t="shared" si="4"/>
        <v>47</v>
      </c>
      <c r="AW10" s="1">
        <f t="shared" si="4"/>
        <v>48</v>
      </c>
      <c r="AX10" s="1">
        <f t="shared" si="4"/>
        <v>49</v>
      </c>
      <c r="AY10" s="1">
        <f t="shared" si="4"/>
        <v>50</v>
      </c>
      <c r="AZ10" s="1">
        <f t="shared" si="4"/>
        <v>51</v>
      </c>
      <c r="BA10" s="1">
        <f t="shared" si="4"/>
        <v>52</v>
      </c>
      <c r="BB10" s="1">
        <f t="shared" si="4"/>
        <v>53</v>
      </c>
      <c r="BC10" s="1">
        <f t="shared" si="4"/>
        <v>54</v>
      </c>
      <c r="BD10" s="1">
        <f t="shared" si="4"/>
        <v>55</v>
      </c>
      <c r="BE10" s="1">
        <f t="shared" si="4"/>
        <v>56</v>
      </c>
      <c r="BF10" s="1">
        <f t="shared" si="4"/>
        <v>57</v>
      </c>
      <c r="BG10" s="1">
        <f t="shared" si="4"/>
        <v>58</v>
      </c>
      <c r="BH10" s="1">
        <f t="shared" si="4"/>
        <v>59</v>
      </c>
      <c r="BI10" s="1">
        <f t="shared" si="4"/>
        <v>60</v>
      </c>
      <c r="BJ10" s="1">
        <f t="shared" si="4"/>
        <v>61</v>
      </c>
      <c r="BK10" s="1">
        <f t="shared" si="4"/>
        <v>62</v>
      </c>
      <c r="BL10" s="1">
        <f t="shared" si="4"/>
        <v>63</v>
      </c>
      <c r="BM10" s="1">
        <f t="shared" si="4"/>
        <v>64</v>
      </c>
      <c r="BN10" s="1">
        <f t="shared" si="4"/>
        <v>65</v>
      </c>
      <c r="BO10" s="1">
        <f t="shared" si="4"/>
        <v>66</v>
      </c>
      <c r="BP10" s="1">
        <f t="shared" ref="BP10:CW10" si="5">BO10+1</f>
        <v>67</v>
      </c>
      <c r="BQ10" s="1">
        <f t="shared" si="5"/>
        <v>68</v>
      </c>
      <c r="BR10" s="1">
        <f t="shared" si="5"/>
        <v>69</v>
      </c>
      <c r="BS10" s="1">
        <f t="shared" si="5"/>
        <v>70</v>
      </c>
      <c r="BT10" s="1">
        <f t="shared" si="5"/>
        <v>71</v>
      </c>
      <c r="BU10" s="1">
        <f t="shared" si="5"/>
        <v>72</v>
      </c>
      <c r="BV10" s="1">
        <f t="shared" si="5"/>
        <v>73</v>
      </c>
      <c r="BW10" s="1">
        <f t="shared" si="5"/>
        <v>74</v>
      </c>
      <c r="BX10" s="1">
        <f t="shared" si="5"/>
        <v>75</v>
      </c>
      <c r="BY10" s="1">
        <f t="shared" si="5"/>
        <v>76</v>
      </c>
      <c r="BZ10" s="1">
        <f t="shared" si="5"/>
        <v>77</v>
      </c>
      <c r="CA10" s="1">
        <f t="shared" si="5"/>
        <v>78</v>
      </c>
      <c r="CB10" s="1">
        <f t="shared" si="5"/>
        <v>79</v>
      </c>
      <c r="CC10" s="1">
        <f t="shared" si="5"/>
        <v>80</v>
      </c>
      <c r="CD10" s="1">
        <f t="shared" si="5"/>
        <v>81</v>
      </c>
      <c r="CE10" s="1">
        <f t="shared" si="5"/>
        <v>82</v>
      </c>
      <c r="CF10" s="1">
        <f t="shared" si="5"/>
        <v>83</v>
      </c>
      <c r="CG10" s="1">
        <f t="shared" si="5"/>
        <v>84</v>
      </c>
      <c r="CH10" s="1">
        <f t="shared" si="5"/>
        <v>85</v>
      </c>
      <c r="CI10" s="1">
        <f t="shared" si="5"/>
        <v>86</v>
      </c>
      <c r="CJ10" s="1">
        <f t="shared" si="5"/>
        <v>87</v>
      </c>
      <c r="CK10" s="1">
        <f t="shared" si="5"/>
        <v>88</v>
      </c>
      <c r="CL10" s="1">
        <f t="shared" si="5"/>
        <v>89</v>
      </c>
      <c r="CM10" s="1">
        <f t="shared" si="5"/>
        <v>90</v>
      </c>
      <c r="CN10" s="1">
        <f t="shared" si="5"/>
        <v>91</v>
      </c>
      <c r="CO10" s="1">
        <f t="shared" si="5"/>
        <v>92</v>
      </c>
      <c r="CP10" s="1">
        <f t="shared" si="5"/>
        <v>93</v>
      </c>
      <c r="CQ10" s="1">
        <f t="shared" si="5"/>
        <v>94</v>
      </c>
      <c r="CR10" s="1">
        <f t="shared" si="5"/>
        <v>95</v>
      </c>
      <c r="CS10" s="1">
        <f t="shared" si="5"/>
        <v>96</v>
      </c>
      <c r="CT10" s="1">
        <f t="shared" si="5"/>
        <v>97</v>
      </c>
      <c r="CU10" s="1">
        <f t="shared" si="5"/>
        <v>98</v>
      </c>
      <c r="CV10" s="1">
        <f t="shared" si="5"/>
        <v>99</v>
      </c>
      <c r="CW10" s="1">
        <f t="shared" si="5"/>
        <v>100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W14"/>
  <sheetViews>
    <sheetView workbookViewId="0">
      <selection activeCell="A6" sqref="A6:XFD9"/>
    </sheetView>
  </sheetViews>
  <sheetFormatPr defaultRowHeight="15" x14ac:dyDescent="0.25"/>
  <cols>
    <col min="1" max="1" width="22.5703125" bestFit="1" customWidth="1"/>
  </cols>
  <sheetData>
    <row r="1" spans="1:101" x14ac:dyDescent="0.25">
      <c r="A1" t="s">
        <v>101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v>204</v>
      </c>
      <c r="AZ1">
        <v>208</v>
      </c>
      <c r="BA1">
        <v>212</v>
      </c>
      <c r="BB1">
        <v>216</v>
      </c>
      <c r="BC1">
        <v>220</v>
      </c>
      <c r="BD1">
        <v>224</v>
      </c>
      <c r="BE1">
        <v>228</v>
      </c>
      <c r="BF1">
        <v>232</v>
      </c>
      <c r="BG1">
        <v>236</v>
      </c>
      <c r="BH1">
        <v>240</v>
      </c>
      <c r="BI1">
        <v>244</v>
      </c>
      <c r="BJ1">
        <v>248</v>
      </c>
      <c r="BK1">
        <v>252</v>
      </c>
      <c r="BL1">
        <v>256</v>
      </c>
      <c r="BM1">
        <v>260</v>
      </c>
      <c r="BN1">
        <v>264</v>
      </c>
      <c r="BO1">
        <v>268</v>
      </c>
      <c r="BP1">
        <v>272</v>
      </c>
      <c r="BQ1">
        <v>276</v>
      </c>
      <c r="BR1">
        <v>280</v>
      </c>
      <c r="BS1">
        <v>284</v>
      </c>
      <c r="BT1">
        <v>288</v>
      </c>
      <c r="BU1">
        <v>292</v>
      </c>
      <c r="BV1">
        <v>296</v>
      </c>
      <c r="BW1">
        <v>300</v>
      </c>
      <c r="BX1">
        <v>304</v>
      </c>
      <c r="BY1">
        <v>308</v>
      </c>
      <c r="BZ1">
        <v>312</v>
      </c>
      <c r="CA1">
        <v>316</v>
      </c>
      <c r="CB1">
        <v>320</v>
      </c>
      <c r="CC1">
        <v>324</v>
      </c>
      <c r="CD1">
        <v>328</v>
      </c>
      <c r="CE1">
        <v>332</v>
      </c>
      <c r="CF1">
        <v>336</v>
      </c>
      <c r="CG1">
        <v>340</v>
      </c>
      <c r="CH1">
        <v>344</v>
      </c>
      <c r="CI1">
        <v>348</v>
      </c>
      <c r="CJ1">
        <v>352</v>
      </c>
      <c r="CK1">
        <v>356</v>
      </c>
      <c r="CL1">
        <v>360</v>
      </c>
      <c r="CM1">
        <v>364</v>
      </c>
      <c r="CN1">
        <v>368</v>
      </c>
      <c r="CO1">
        <v>372</v>
      </c>
      <c r="CP1">
        <v>376</v>
      </c>
      <c r="CQ1">
        <v>380</v>
      </c>
      <c r="CR1">
        <v>384</v>
      </c>
      <c r="CS1">
        <v>388</v>
      </c>
      <c r="CT1">
        <v>392</v>
      </c>
      <c r="CU1">
        <v>396</v>
      </c>
      <c r="CV1" t="s">
        <v>114</v>
      </c>
    </row>
    <row r="2" spans="1:101" x14ac:dyDescent="0.25">
      <c r="A2" t="s">
        <v>102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 t="s">
        <v>131</v>
      </c>
    </row>
    <row r="3" spans="1:101" x14ac:dyDescent="0.25">
      <c r="A3" t="s">
        <v>117</v>
      </c>
      <c r="B3">
        <v>5</v>
      </c>
      <c r="C3">
        <v>8</v>
      </c>
      <c r="D3">
        <v>10</v>
      </c>
      <c r="E3">
        <v>13</v>
      </c>
      <c r="F3">
        <v>15</v>
      </c>
      <c r="G3">
        <v>18</v>
      </c>
      <c r="H3">
        <v>20</v>
      </c>
      <c r="I3">
        <v>23</v>
      </c>
      <c r="J3">
        <v>25</v>
      </c>
      <c r="K3">
        <v>28</v>
      </c>
      <c r="L3">
        <v>30</v>
      </c>
      <c r="M3">
        <v>33</v>
      </c>
      <c r="N3">
        <v>35</v>
      </c>
      <c r="O3">
        <v>38</v>
      </c>
      <c r="P3">
        <v>40</v>
      </c>
      <c r="Q3">
        <v>43</v>
      </c>
      <c r="R3">
        <v>45</v>
      </c>
      <c r="S3">
        <v>48</v>
      </c>
      <c r="T3">
        <v>50</v>
      </c>
      <c r="U3">
        <v>53</v>
      </c>
      <c r="V3">
        <v>55</v>
      </c>
      <c r="W3">
        <v>58</v>
      </c>
      <c r="X3">
        <v>60</v>
      </c>
      <c r="Y3">
        <v>63</v>
      </c>
      <c r="Z3">
        <v>65</v>
      </c>
      <c r="AA3">
        <v>68</v>
      </c>
      <c r="AB3">
        <v>70</v>
      </c>
      <c r="AC3">
        <v>73</v>
      </c>
      <c r="AD3">
        <v>75</v>
      </c>
      <c r="AE3">
        <v>78</v>
      </c>
      <c r="AF3">
        <v>80</v>
      </c>
      <c r="AG3">
        <v>83</v>
      </c>
      <c r="AH3">
        <v>85</v>
      </c>
      <c r="AI3">
        <v>88</v>
      </c>
      <c r="AJ3">
        <v>90</v>
      </c>
      <c r="AK3">
        <v>93</v>
      </c>
      <c r="AL3">
        <v>95</v>
      </c>
      <c r="AM3">
        <v>98</v>
      </c>
      <c r="AN3">
        <v>100</v>
      </c>
      <c r="AO3">
        <v>103</v>
      </c>
      <c r="AP3">
        <v>105</v>
      </c>
      <c r="AQ3">
        <v>108</v>
      </c>
      <c r="AR3">
        <v>110</v>
      </c>
      <c r="AS3">
        <v>113</v>
      </c>
      <c r="AT3">
        <v>115</v>
      </c>
      <c r="AU3">
        <v>118</v>
      </c>
      <c r="AV3">
        <v>120</v>
      </c>
      <c r="AW3">
        <v>123</v>
      </c>
      <c r="AX3">
        <v>125</v>
      </c>
      <c r="AY3">
        <v>128</v>
      </c>
      <c r="AZ3">
        <v>130</v>
      </c>
      <c r="BA3">
        <v>133</v>
      </c>
      <c r="BB3">
        <v>135</v>
      </c>
      <c r="BC3">
        <v>138</v>
      </c>
      <c r="BD3">
        <v>140</v>
      </c>
      <c r="BE3">
        <v>143</v>
      </c>
      <c r="BF3">
        <v>145</v>
      </c>
      <c r="BG3">
        <v>148</v>
      </c>
      <c r="BH3">
        <v>150</v>
      </c>
      <c r="BI3">
        <v>153</v>
      </c>
      <c r="BJ3">
        <v>155</v>
      </c>
      <c r="BK3">
        <v>158</v>
      </c>
      <c r="BL3">
        <v>160</v>
      </c>
      <c r="BM3">
        <v>163</v>
      </c>
      <c r="BN3">
        <v>165</v>
      </c>
      <c r="BO3">
        <v>168</v>
      </c>
      <c r="BP3">
        <v>170</v>
      </c>
      <c r="BQ3">
        <v>173</v>
      </c>
      <c r="BR3">
        <v>175</v>
      </c>
      <c r="BS3">
        <v>178</v>
      </c>
      <c r="BT3">
        <v>180</v>
      </c>
      <c r="BU3">
        <v>183</v>
      </c>
      <c r="BV3">
        <v>185</v>
      </c>
      <c r="BW3">
        <v>188</v>
      </c>
      <c r="BX3">
        <v>190</v>
      </c>
      <c r="BY3">
        <v>193</v>
      </c>
      <c r="BZ3">
        <v>195</v>
      </c>
      <c r="CA3">
        <v>198</v>
      </c>
      <c r="CB3">
        <v>200</v>
      </c>
      <c r="CC3">
        <v>203</v>
      </c>
      <c r="CD3">
        <v>205</v>
      </c>
      <c r="CE3">
        <v>208</v>
      </c>
      <c r="CF3">
        <v>210</v>
      </c>
      <c r="CG3">
        <v>213</v>
      </c>
      <c r="CH3">
        <v>215</v>
      </c>
      <c r="CI3">
        <v>218</v>
      </c>
      <c r="CJ3">
        <v>220</v>
      </c>
      <c r="CK3">
        <v>223</v>
      </c>
      <c r="CL3">
        <v>225</v>
      </c>
      <c r="CM3">
        <v>228</v>
      </c>
      <c r="CN3">
        <v>230</v>
      </c>
      <c r="CO3">
        <v>233</v>
      </c>
      <c r="CP3">
        <v>235</v>
      </c>
      <c r="CQ3">
        <v>238</v>
      </c>
      <c r="CR3">
        <v>240</v>
      </c>
      <c r="CS3">
        <v>243</v>
      </c>
      <c r="CT3">
        <v>245</v>
      </c>
      <c r="CU3">
        <v>248</v>
      </c>
      <c r="CV3" t="s">
        <v>132</v>
      </c>
    </row>
    <row r="4" spans="1:101" x14ac:dyDescent="0.25">
      <c r="A4" t="s">
        <v>133</v>
      </c>
      <c r="B4">
        <v>72</v>
      </c>
      <c r="C4">
        <v>108</v>
      </c>
      <c r="D4">
        <v>144</v>
      </c>
      <c r="E4">
        <v>180</v>
      </c>
      <c r="F4">
        <v>216</v>
      </c>
      <c r="G4">
        <v>252</v>
      </c>
      <c r="H4">
        <v>288</v>
      </c>
      <c r="I4">
        <v>324</v>
      </c>
      <c r="J4">
        <v>360</v>
      </c>
      <c r="K4">
        <v>396</v>
      </c>
      <c r="L4">
        <v>432</v>
      </c>
      <c r="M4">
        <v>468</v>
      </c>
      <c r="N4">
        <v>504</v>
      </c>
      <c r="O4">
        <v>540</v>
      </c>
      <c r="P4">
        <v>576</v>
      </c>
      <c r="Q4">
        <v>612</v>
      </c>
      <c r="R4">
        <v>648</v>
      </c>
      <c r="S4">
        <v>684</v>
      </c>
      <c r="T4">
        <v>720</v>
      </c>
      <c r="U4">
        <v>756</v>
      </c>
      <c r="V4">
        <v>792</v>
      </c>
      <c r="W4">
        <v>828</v>
      </c>
      <c r="X4">
        <v>864</v>
      </c>
      <c r="Y4">
        <v>900</v>
      </c>
      <c r="Z4">
        <v>936</v>
      </c>
      <c r="AA4">
        <v>972</v>
      </c>
      <c r="AB4">
        <v>1008</v>
      </c>
      <c r="AC4">
        <v>1044</v>
      </c>
      <c r="AD4">
        <v>1080</v>
      </c>
      <c r="AE4">
        <v>1116</v>
      </c>
      <c r="AF4">
        <v>1152</v>
      </c>
      <c r="AG4">
        <v>1188</v>
      </c>
      <c r="AH4">
        <v>1224</v>
      </c>
      <c r="AI4">
        <v>1260</v>
      </c>
      <c r="AJ4">
        <v>1296</v>
      </c>
      <c r="AK4">
        <v>1332</v>
      </c>
      <c r="AL4">
        <v>1368</v>
      </c>
      <c r="AM4">
        <v>1404</v>
      </c>
      <c r="AN4">
        <v>1440</v>
      </c>
      <c r="AO4">
        <v>1476</v>
      </c>
      <c r="AP4">
        <v>1512</v>
      </c>
      <c r="AQ4">
        <v>1548</v>
      </c>
      <c r="AR4">
        <v>1584</v>
      </c>
      <c r="AS4">
        <v>1620</v>
      </c>
      <c r="AT4">
        <v>1656</v>
      </c>
      <c r="AU4">
        <v>1692</v>
      </c>
      <c r="AV4">
        <v>1728</v>
      </c>
      <c r="AW4">
        <v>1764</v>
      </c>
      <c r="AX4">
        <v>1800</v>
      </c>
      <c r="AY4">
        <v>1836</v>
      </c>
      <c r="AZ4">
        <v>1872</v>
      </c>
      <c r="BA4">
        <v>1908</v>
      </c>
      <c r="BB4">
        <v>1944</v>
      </c>
      <c r="BC4">
        <v>1980</v>
      </c>
      <c r="BD4">
        <v>2016</v>
      </c>
      <c r="BE4">
        <v>2052</v>
      </c>
      <c r="BF4">
        <v>2088</v>
      </c>
      <c r="BG4">
        <v>2124</v>
      </c>
      <c r="BH4">
        <v>2160</v>
      </c>
      <c r="BI4">
        <v>2196</v>
      </c>
      <c r="BJ4">
        <v>2232</v>
      </c>
      <c r="BK4">
        <v>2268</v>
      </c>
      <c r="BL4">
        <v>2304</v>
      </c>
      <c r="BM4">
        <v>2340</v>
      </c>
      <c r="BN4">
        <v>2376</v>
      </c>
      <c r="BO4">
        <v>2412</v>
      </c>
      <c r="BP4">
        <v>2448</v>
      </c>
      <c r="BQ4">
        <v>2484</v>
      </c>
      <c r="BR4">
        <v>2520</v>
      </c>
      <c r="BS4">
        <v>2556</v>
      </c>
      <c r="BT4">
        <v>2592</v>
      </c>
      <c r="BU4">
        <v>2628</v>
      </c>
      <c r="BV4">
        <v>2664</v>
      </c>
      <c r="BW4">
        <v>2700</v>
      </c>
      <c r="BX4">
        <v>2736</v>
      </c>
      <c r="BY4">
        <v>2772</v>
      </c>
      <c r="BZ4">
        <v>2808</v>
      </c>
      <c r="CA4">
        <v>2844</v>
      </c>
      <c r="CB4">
        <v>2880</v>
      </c>
      <c r="CC4">
        <v>2916</v>
      </c>
      <c r="CD4">
        <v>2952</v>
      </c>
      <c r="CE4">
        <v>2988</v>
      </c>
      <c r="CF4">
        <v>3024</v>
      </c>
      <c r="CG4">
        <v>3060</v>
      </c>
      <c r="CH4">
        <v>3096</v>
      </c>
      <c r="CI4">
        <v>3132</v>
      </c>
      <c r="CJ4">
        <v>3168</v>
      </c>
      <c r="CK4">
        <v>3204</v>
      </c>
      <c r="CL4">
        <v>3240</v>
      </c>
      <c r="CM4">
        <v>3276</v>
      </c>
      <c r="CN4">
        <v>3312</v>
      </c>
      <c r="CO4">
        <v>3348</v>
      </c>
      <c r="CP4">
        <v>3384</v>
      </c>
      <c r="CQ4">
        <v>3420</v>
      </c>
      <c r="CR4">
        <v>3456</v>
      </c>
      <c r="CS4">
        <v>3492</v>
      </c>
      <c r="CT4">
        <v>3528</v>
      </c>
      <c r="CU4">
        <v>3564</v>
      </c>
      <c r="CV4" t="s">
        <v>134</v>
      </c>
    </row>
    <row r="5" spans="1:101" x14ac:dyDescent="0.25">
      <c r="A5" t="s">
        <v>135</v>
      </c>
      <c r="B5">
        <v>28</v>
      </c>
      <c r="C5">
        <v>42</v>
      </c>
      <c r="D5">
        <v>56</v>
      </c>
      <c r="E5">
        <v>70</v>
      </c>
      <c r="F5">
        <v>84</v>
      </c>
      <c r="G5">
        <v>98</v>
      </c>
      <c r="H5">
        <v>112</v>
      </c>
      <c r="I5">
        <v>126</v>
      </c>
      <c r="J5">
        <v>140</v>
      </c>
      <c r="K5">
        <v>154</v>
      </c>
      <c r="L5">
        <v>168</v>
      </c>
      <c r="M5">
        <v>182</v>
      </c>
      <c r="N5">
        <v>196</v>
      </c>
      <c r="O5">
        <v>210</v>
      </c>
      <c r="P5">
        <v>224</v>
      </c>
      <c r="Q5">
        <v>238</v>
      </c>
      <c r="R5">
        <v>252</v>
      </c>
      <c r="S5">
        <v>266</v>
      </c>
      <c r="T5">
        <v>280</v>
      </c>
      <c r="U5">
        <v>294</v>
      </c>
      <c r="V5">
        <v>308</v>
      </c>
      <c r="W5">
        <v>322</v>
      </c>
      <c r="X5">
        <v>336</v>
      </c>
      <c r="Y5">
        <v>350</v>
      </c>
      <c r="Z5">
        <v>364</v>
      </c>
      <c r="AA5">
        <v>378</v>
      </c>
      <c r="AB5">
        <v>392</v>
      </c>
      <c r="AC5">
        <v>406</v>
      </c>
      <c r="AD5">
        <v>420</v>
      </c>
      <c r="AE5">
        <v>434</v>
      </c>
      <c r="AF5">
        <v>448</v>
      </c>
      <c r="AG5">
        <v>462</v>
      </c>
      <c r="AH5">
        <v>476</v>
      </c>
      <c r="AI5">
        <v>490</v>
      </c>
      <c r="AJ5">
        <v>504</v>
      </c>
      <c r="AK5">
        <v>518</v>
      </c>
      <c r="AL5">
        <v>532</v>
      </c>
      <c r="AM5">
        <v>546</v>
      </c>
      <c r="AN5">
        <v>560</v>
      </c>
      <c r="AO5">
        <v>574</v>
      </c>
      <c r="AP5">
        <v>588</v>
      </c>
      <c r="AQ5">
        <v>602</v>
      </c>
      <c r="AR5">
        <v>616</v>
      </c>
      <c r="AS5">
        <v>630</v>
      </c>
      <c r="AT5">
        <v>644</v>
      </c>
      <c r="AU5">
        <v>658</v>
      </c>
      <c r="AV5">
        <v>672</v>
      </c>
      <c r="AW5">
        <v>686</v>
      </c>
      <c r="AX5">
        <v>700</v>
      </c>
      <c r="AY5">
        <v>714</v>
      </c>
      <c r="AZ5">
        <v>728</v>
      </c>
      <c r="BA5">
        <v>742</v>
      </c>
      <c r="BB5">
        <v>756</v>
      </c>
      <c r="BC5">
        <v>770</v>
      </c>
      <c r="BD5">
        <v>784</v>
      </c>
      <c r="BE5">
        <v>798</v>
      </c>
      <c r="BF5">
        <v>812</v>
      </c>
      <c r="BG5">
        <v>826</v>
      </c>
      <c r="BH5">
        <v>840</v>
      </c>
      <c r="BI5">
        <v>854</v>
      </c>
      <c r="BJ5">
        <v>868</v>
      </c>
      <c r="BK5">
        <v>882</v>
      </c>
      <c r="BL5">
        <v>896</v>
      </c>
      <c r="BM5">
        <v>910</v>
      </c>
      <c r="BN5">
        <v>924</v>
      </c>
      <c r="BO5">
        <v>938</v>
      </c>
      <c r="BP5">
        <v>952</v>
      </c>
      <c r="BQ5">
        <v>966</v>
      </c>
      <c r="BR5">
        <v>980</v>
      </c>
      <c r="BS5">
        <v>994</v>
      </c>
      <c r="BT5">
        <v>1008</v>
      </c>
      <c r="BU5">
        <v>1022</v>
      </c>
      <c r="BV5">
        <v>1036</v>
      </c>
      <c r="BW5">
        <v>1050</v>
      </c>
      <c r="BX5">
        <v>1064</v>
      </c>
      <c r="BY5">
        <v>1078</v>
      </c>
      <c r="BZ5">
        <v>1092</v>
      </c>
      <c r="CA5">
        <v>1106</v>
      </c>
      <c r="CB5">
        <v>1120</v>
      </c>
      <c r="CC5">
        <v>1134</v>
      </c>
      <c r="CD5">
        <v>1148</v>
      </c>
      <c r="CE5">
        <v>1162</v>
      </c>
      <c r="CF5">
        <v>1176</v>
      </c>
      <c r="CG5">
        <v>1190</v>
      </c>
      <c r="CH5">
        <v>1204</v>
      </c>
      <c r="CI5">
        <v>1218</v>
      </c>
      <c r="CJ5">
        <v>1232</v>
      </c>
      <c r="CK5">
        <v>1246</v>
      </c>
      <c r="CL5">
        <v>1260</v>
      </c>
      <c r="CM5">
        <v>1274</v>
      </c>
      <c r="CN5">
        <v>1288</v>
      </c>
      <c r="CO5">
        <v>1302</v>
      </c>
      <c r="CP5">
        <v>1316</v>
      </c>
      <c r="CQ5">
        <v>1330</v>
      </c>
      <c r="CR5">
        <v>1344</v>
      </c>
      <c r="CS5">
        <v>1358</v>
      </c>
      <c r="CT5">
        <v>1372</v>
      </c>
      <c r="CU5">
        <v>1386</v>
      </c>
      <c r="CV5" t="s">
        <v>136</v>
      </c>
    </row>
    <row r="6" spans="1:101" x14ac:dyDescent="0.25">
      <c r="A6" t="s">
        <v>137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3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 t="s">
        <v>143</v>
      </c>
    </row>
    <row r="7" spans="1:101" x14ac:dyDescent="0.25">
      <c r="A7" t="s">
        <v>138</v>
      </c>
      <c r="B7">
        <v>2</v>
      </c>
      <c r="C7">
        <v>2</v>
      </c>
      <c r="D7">
        <v>2</v>
      </c>
      <c r="E7">
        <v>3</v>
      </c>
      <c r="F7">
        <v>3</v>
      </c>
      <c r="G7">
        <v>4</v>
      </c>
      <c r="H7">
        <v>4</v>
      </c>
      <c r="I7">
        <v>4</v>
      </c>
      <c r="J7">
        <v>5</v>
      </c>
      <c r="K7">
        <v>6</v>
      </c>
      <c r="L7">
        <v>6</v>
      </c>
      <c r="M7">
        <v>6</v>
      </c>
      <c r="N7">
        <v>7</v>
      </c>
      <c r="O7">
        <v>8</v>
      </c>
      <c r="P7">
        <v>8</v>
      </c>
      <c r="Q7">
        <v>8</v>
      </c>
      <c r="R7">
        <v>9</v>
      </c>
      <c r="S7">
        <v>10</v>
      </c>
      <c r="T7">
        <v>10</v>
      </c>
      <c r="U7">
        <v>10</v>
      </c>
      <c r="V7">
        <v>11</v>
      </c>
      <c r="W7">
        <v>12</v>
      </c>
      <c r="X7">
        <v>12</v>
      </c>
      <c r="Y7">
        <v>12</v>
      </c>
      <c r="Z7">
        <v>13</v>
      </c>
      <c r="AA7">
        <v>14</v>
      </c>
      <c r="AB7">
        <v>14</v>
      </c>
      <c r="AC7">
        <v>14</v>
      </c>
      <c r="AD7">
        <v>15</v>
      </c>
      <c r="AE7">
        <v>16</v>
      </c>
      <c r="AF7">
        <v>16</v>
      </c>
      <c r="AG7">
        <v>16</v>
      </c>
      <c r="AH7">
        <v>17</v>
      </c>
      <c r="AI7">
        <v>18</v>
      </c>
      <c r="AJ7">
        <v>18</v>
      </c>
      <c r="AK7">
        <v>18</v>
      </c>
      <c r="AL7">
        <v>19</v>
      </c>
      <c r="AM7">
        <v>20</v>
      </c>
      <c r="AN7">
        <v>20</v>
      </c>
      <c r="AO7">
        <v>20</v>
      </c>
      <c r="AP7">
        <v>21</v>
      </c>
      <c r="AQ7">
        <v>22</v>
      </c>
      <c r="AR7">
        <v>22</v>
      </c>
      <c r="AS7">
        <v>22</v>
      </c>
      <c r="AT7">
        <v>23</v>
      </c>
      <c r="AU7">
        <v>24</v>
      </c>
      <c r="AV7">
        <v>24</v>
      </c>
      <c r="AW7">
        <v>24</v>
      </c>
      <c r="AX7">
        <v>25</v>
      </c>
      <c r="AY7">
        <f>AX7+0.15</f>
        <v>25.15</v>
      </c>
      <c r="AZ7">
        <f t="shared" ref="AZ7:CU7" si="0">AY7+0.15</f>
        <v>25.299999999999997</v>
      </c>
      <c r="BA7">
        <f t="shared" si="0"/>
        <v>25.449999999999996</v>
      </c>
      <c r="BB7">
        <f t="shared" si="0"/>
        <v>25.599999999999994</v>
      </c>
      <c r="BC7">
        <f t="shared" si="0"/>
        <v>25.749999999999993</v>
      </c>
      <c r="BD7">
        <f t="shared" si="0"/>
        <v>25.899999999999991</v>
      </c>
      <c r="BE7">
        <f t="shared" si="0"/>
        <v>26.04999999999999</v>
      </c>
      <c r="BF7">
        <f t="shared" si="0"/>
        <v>26.199999999999989</v>
      </c>
      <c r="BG7">
        <f t="shared" si="0"/>
        <v>26.349999999999987</v>
      </c>
      <c r="BH7">
        <f t="shared" si="0"/>
        <v>26.499999999999986</v>
      </c>
      <c r="BI7">
        <f t="shared" si="0"/>
        <v>26.649999999999984</v>
      </c>
      <c r="BJ7">
        <f t="shared" si="0"/>
        <v>26.799999999999983</v>
      </c>
      <c r="BK7">
        <f t="shared" si="0"/>
        <v>26.949999999999982</v>
      </c>
      <c r="BL7">
        <f t="shared" si="0"/>
        <v>27.09999999999998</v>
      </c>
      <c r="BM7">
        <f t="shared" si="0"/>
        <v>27.249999999999979</v>
      </c>
      <c r="BN7">
        <f t="shared" si="0"/>
        <v>27.399999999999977</v>
      </c>
      <c r="BO7">
        <f t="shared" si="0"/>
        <v>27.549999999999976</v>
      </c>
      <c r="BP7">
        <f t="shared" si="0"/>
        <v>27.699999999999974</v>
      </c>
      <c r="BQ7">
        <f t="shared" si="0"/>
        <v>27.849999999999973</v>
      </c>
      <c r="BR7">
        <f t="shared" si="0"/>
        <v>27.999999999999972</v>
      </c>
      <c r="BS7">
        <f t="shared" si="0"/>
        <v>28.14999999999997</v>
      </c>
      <c r="BT7">
        <f t="shared" si="0"/>
        <v>28.299999999999969</v>
      </c>
      <c r="BU7">
        <f t="shared" si="0"/>
        <v>28.449999999999967</v>
      </c>
      <c r="BV7">
        <f t="shared" si="0"/>
        <v>28.599999999999966</v>
      </c>
      <c r="BW7">
        <f t="shared" si="0"/>
        <v>28.749999999999964</v>
      </c>
      <c r="BX7">
        <f t="shared" si="0"/>
        <v>28.899999999999963</v>
      </c>
      <c r="BY7">
        <f t="shared" si="0"/>
        <v>29.049999999999962</v>
      </c>
      <c r="BZ7">
        <f t="shared" si="0"/>
        <v>29.19999999999996</v>
      </c>
      <c r="CA7">
        <f t="shared" si="0"/>
        <v>29.349999999999959</v>
      </c>
      <c r="CB7">
        <f t="shared" si="0"/>
        <v>29.499999999999957</v>
      </c>
      <c r="CC7">
        <f t="shared" si="0"/>
        <v>29.649999999999956</v>
      </c>
      <c r="CD7">
        <f t="shared" si="0"/>
        <v>29.799999999999955</v>
      </c>
      <c r="CE7">
        <f t="shared" si="0"/>
        <v>29.949999999999953</v>
      </c>
      <c r="CF7">
        <f t="shared" si="0"/>
        <v>30.099999999999952</v>
      </c>
      <c r="CG7">
        <f t="shared" si="0"/>
        <v>30.24999999999995</v>
      </c>
      <c r="CH7">
        <f t="shared" si="0"/>
        <v>30.399999999999949</v>
      </c>
      <c r="CI7">
        <f t="shared" si="0"/>
        <v>30.549999999999947</v>
      </c>
      <c r="CJ7">
        <f t="shared" si="0"/>
        <v>30.699999999999946</v>
      </c>
      <c r="CK7">
        <f t="shared" si="0"/>
        <v>30.849999999999945</v>
      </c>
      <c r="CL7">
        <f t="shared" si="0"/>
        <v>30.999999999999943</v>
      </c>
      <c r="CM7">
        <f t="shared" si="0"/>
        <v>31.149999999999942</v>
      </c>
      <c r="CN7">
        <f t="shared" si="0"/>
        <v>31.29999999999994</v>
      </c>
      <c r="CO7">
        <f t="shared" si="0"/>
        <v>31.449999999999939</v>
      </c>
      <c r="CP7">
        <f t="shared" si="0"/>
        <v>31.599999999999937</v>
      </c>
      <c r="CQ7">
        <f t="shared" si="0"/>
        <v>31.749999999999936</v>
      </c>
      <c r="CR7">
        <f t="shared" si="0"/>
        <v>31.899999999999935</v>
      </c>
      <c r="CS7">
        <f t="shared" si="0"/>
        <v>32.049999999999933</v>
      </c>
      <c r="CT7">
        <f t="shared" si="0"/>
        <v>32.199999999999932</v>
      </c>
      <c r="CU7">
        <f t="shared" si="0"/>
        <v>32.34999999999993</v>
      </c>
      <c r="CV7" t="s">
        <v>141</v>
      </c>
    </row>
    <row r="8" spans="1:101" x14ac:dyDescent="0.25">
      <c r="A8" t="s">
        <v>139</v>
      </c>
      <c r="B8">
        <v>0.2</v>
      </c>
      <c r="C8">
        <v>0.3</v>
      </c>
      <c r="D8">
        <v>0.4</v>
      </c>
      <c r="E8">
        <v>0.5</v>
      </c>
      <c r="F8">
        <v>0.6</v>
      </c>
      <c r="G8">
        <v>0.7</v>
      </c>
      <c r="H8">
        <v>0.8</v>
      </c>
      <c r="I8">
        <v>0.9</v>
      </c>
      <c r="J8">
        <v>1</v>
      </c>
      <c r="K8">
        <v>1.1000000000000001</v>
      </c>
      <c r="L8">
        <v>1.2</v>
      </c>
      <c r="M8">
        <v>1.3</v>
      </c>
      <c r="N8">
        <v>1.4</v>
      </c>
      <c r="O8">
        <v>1.5</v>
      </c>
      <c r="P8">
        <v>1.6</v>
      </c>
      <c r="Q8">
        <v>1.7</v>
      </c>
      <c r="R8">
        <v>1.8</v>
      </c>
      <c r="S8">
        <v>1.9</v>
      </c>
      <c r="T8">
        <v>2</v>
      </c>
      <c r="U8">
        <v>2.1</v>
      </c>
      <c r="V8">
        <v>2.2000000000000002</v>
      </c>
      <c r="W8">
        <v>2.2999999999999998</v>
      </c>
      <c r="X8">
        <v>2.4</v>
      </c>
      <c r="Y8">
        <v>2.5</v>
      </c>
      <c r="Z8">
        <v>2.6</v>
      </c>
      <c r="AA8">
        <v>2.7</v>
      </c>
      <c r="AB8">
        <v>2.8</v>
      </c>
      <c r="AC8">
        <v>2.9</v>
      </c>
      <c r="AD8">
        <v>3</v>
      </c>
      <c r="AE8">
        <v>3.1</v>
      </c>
      <c r="AF8">
        <v>3.2</v>
      </c>
      <c r="AG8">
        <v>3.3</v>
      </c>
      <c r="AH8">
        <v>3.4</v>
      </c>
      <c r="AI8">
        <v>3.5</v>
      </c>
      <c r="AJ8">
        <v>3.6</v>
      </c>
      <c r="AK8">
        <v>3.7</v>
      </c>
      <c r="AL8">
        <v>3.8</v>
      </c>
      <c r="AM8">
        <v>3.9</v>
      </c>
      <c r="AN8">
        <v>4</v>
      </c>
      <c r="AO8">
        <v>4.0999999999999996</v>
      </c>
      <c r="AP8">
        <v>4.2</v>
      </c>
      <c r="AQ8">
        <v>4.3</v>
      </c>
      <c r="AR8">
        <v>4.4000000000000004</v>
      </c>
      <c r="AS8">
        <v>4.5</v>
      </c>
      <c r="AT8">
        <v>4.5999999999999996</v>
      </c>
      <c r="AU8">
        <v>4.7</v>
      </c>
      <c r="AV8">
        <v>4.8</v>
      </c>
      <c r="AW8">
        <v>4.9000000000000004</v>
      </c>
      <c r="AX8">
        <v>5</v>
      </c>
      <c r="AY8">
        <f>AX8+0.05</f>
        <v>5.05</v>
      </c>
      <c r="AZ8">
        <f t="shared" ref="AZ8:CU8" si="1">AY8+0.05</f>
        <v>5.0999999999999996</v>
      </c>
      <c r="BA8">
        <f t="shared" si="1"/>
        <v>5.1499999999999995</v>
      </c>
      <c r="BB8">
        <f t="shared" si="1"/>
        <v>5.1999999999999993</v>
      </c>
      <c r="BC8">
        <f t="shared" si="1"/>
        <v>5.2499999999999991</v>
      </c>
      <c r="BD8">
        <f t="shared" si="1"/>
        <v>5.2999999999999989</v>
      </c>
      <c r="BE8">
        <f t="shared" si="1"/>
        <v>5.3499999999999988</v>
      </c>
      <c r="BF8">
        <f t="shared" si="1"/>
        <v>5.3999999999999986</v>
      </c>
      <c r="BG8">
        <f t="shared" si="1"/>
        <v>5.4499999999999984</v>
      </c>
      <c r="BH8">
        <f t="shared" si="1"/>
        <v>5.4999999999999982</v>
      </c>
      <c r="BI8">
        <f t="shared" si="1"/>
        <v>5.549999999999998</v>
      </c>
      <c r="BJ8">
        <f t="shared" si="1"/>
        <v>5.5999999999999979</v>
      </c>
      <c r="BK8">
        <f t="shared" si="1"/>
        <v>5.6499999999999977</v>
      </c>
      <c r="BL8">
        <f t="shared" si="1"/>
        <v>5.6999999999999975</v>
      </c>
      <c r="BM8">
        <f t="shared" si="1"/>
        <v>5.7499999999999973</v>
      </c>
      <c r="BN8">
        <f t="shared" si="1"/>
        <v>5.7999999999999972</v>
      </c>
      <c r="BO8">
        <f t="shared" si="1"/>
        <v>5.849999999999997</v>
      </c>
      <c r="BP8">
        <f t="shared" si="1"/>
        <v>5.8999999999999968</v>
      </c>
      <c r="BQ8">
        <f t="shared" si="1"/>
        <v>5.9499999999999966</v>
      </c>
      <c r="BR8">
        <f t="shared" si="1"/>
        <v>5.9999999999999964</v>
      </c>
      <c r="BS8">
        <f t="shared" si="1"/>
        <v>6.0499999999999963</v>
      </c>
      <c r="BT8">
        <f t="shared" si="1"/>
        <v>6.0999999999999961</v>
      </c>
      <c r="BU8">
        <f t="shared" si="1"/>
        <v>6.1499999999999959</v>
      </c>
      <c r="BV8">
        <f t="shared" si="1"/>
        <v>6.1999999999999957</v>
      </c>
      <c r="BW8">
        <f t="shared" si="1"/>
        <v>6.2499999999999956</v>
      </c>
      <c r="BX8">
        <f t="shared" si="1"/>
        <v>6.2999999999999954</v>
      </c>
      <c r="BY8">
        <f t="shared" si="1"/>
        <v>6.3499999999999952</v>
      </c>
      <c r="BZ8">
        <f t="shared" si="1"/>
        <v>6.399999999999995</v>
      </c>
      <c r="CA8">
        <f t="shared" si="1"/>
        <v>6.4499999999999948</v>
      </c>
      <c r="CB8">
        <f t="shared" si="1"/>
        <v>6.4999999999999947</v>
      </c>
      <c r="CC8">
        <f t="shared" si="1"/>
        <v>6.5499999999999945</v>
      </c>
      <c r="CD8">
        <f t="shared" si="1"/>
        <v>6.5999999999999943</v>
      </c>
      <c r="CE8">
        <f t="shared" si="1"/>
        <v>6.6499999999999941</v>
      </c>
      <c r="CF8">
        <f t="shared" si="1"/>
        <v>6.699999999999994</v>
      </c>
      <c r="CG8">
        <f t="shared" si="1"/>
        <v>6.7499999999999938</v>
      </c>
      <c r="CH8">
        <f t="shared" si="1"/>
        <v>6.7999999999999936</v>
      </c>
      <c r="CI8">
        <f t="shared" si="1"/>
        <v>6.8499999999999934</v>
      </c>
      <c r="CJ8">
        <f t="shared" si="1"/>
        <v>6.8999999999999932</v>
      </c>
      <c r="CK8">
        <f t="shared" si="1"/>
        <v>6.9499999999999931</v>
      </c>
      <c r="CL8">
        <f t="shared" si="1"/>
        <v>6.9999999999999929</v>
      </c>
      <c r="CM8">
        <f t="shared" si="1"/>
        <v>7.0499999999999927</v>
      </c>
      <c r="CN8">
        <f t="shared" si="1"/>
        <v>7.0999999999999925</v>
      </c>
      <c r="CO8">
        <f t="shared" si="1"/>
        <v>7.1499999999999924</v>
      </c>
      <c r="CP8">
        <f t="shared" si="1"/>
        <v>7.1999999999999922</v>
      </c>
      <c r="CQ8">
        <f t="shared" si="1"/>
        <v>7.249999999999992</v>
      </c>
      <c r="CR8">
        <f t="shared" si="1"/>
        <v>7.2999999999999918</v>
      </c>
      <c r="CS8">
        <f t="shared" si="1"/>
        <v>7.3499999999999917</v>
      </c>
      <c r="CT8">
        <f t="shared" si="1"/>
        <v>7.3999999999999915</v>
      </c>
      <c r="CU8">
        <f t="shared" si="1"/>
        <v>7.4499999999999913</v>
      </c>
      <c r="CV8" t="s">
        <v>142</v>
      </c>
    </row>
    <row r="9" spans="1:101" x14ac:dyDescent="0.25">
      <c r="A9" t="s">
        <v>140</v>
      </c>
      <c r="B9">
        <v>5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  <c r="AB9">
        <v>5</v>
      </c>
      <c r="AC9">
        <v>5</v>
      </c>
      <c r="AD9">
        <v>5</v>
      </c>
      <c r="AE9">
        <v>5</v>
      </c>
      <c r="AF9">
        <v>5</v>
      </c>
      <c r="AG9">
        <v>5</v>
      </c>
      <c r="AH9">
        <v>5</v>
      </c>
      <c r="AI9">
        <v>5</v>
      </c>
      <c r="AJ9">
        <v>5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5</v>
      </c>
      <c r="AV9">
        <v>5</v>
      </c>
      <c r="AW9">
        <v>5</v>
      </c>
      <c r="AX9">
        <v>5</v>
      </c>
      <c r="AY9">
        <v>6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 t="s">
        <v>144</v>
      </c>
    </row>
    <row r="14" spans="1:101" x14ac:dyDescent="0.25">
      <c r="B14">
        <v>1</v>
      </c>
      <c r="C14" s="1">
        <f>B14+1</f>
        <v>2</v>
      </c>
      <c r="D14" s="1">
        <f t="shared" ref="D14:BO14" si="2">C14+1</f>
        <v>3</v>
      </c>
      <c r="E14" s="1">
        <f t="shared" si="2"/>
        <v>4</v>
      </c>
      <c r="F14" s="1">
        <f t="shared" si="2"/>
        <v>5</v>
      </c>
      <c r="G14" s="1">
        <f t="shared" si="2"/>
        <v>6</v>
      </c>
      <c r="H14" s="1">
        <f t="shared" si="2"/>
        <v>7</v>
      </c>
      <c r="I14" s="1">
        <f t="shared" si="2"/>
        <v>8</v>
      </c>
      <c r="J14" s="1">
        <f t="shared" si="2"/>
        <v>9</v>
      </c>
      <c r="K14" s="1">
        <f t="shared" si="2"/>
        <v>10</v>
      </c>
      <c r="L14" s="1">
        <f t="shared" si="2"/>
        <v>11</v>
      </c>
      <c r="M14" s="1">
        <f t="shared" si="2"/>
        <v>12</v>
      </c>
      <c r="N14" s="1">
        <f t="shared" si="2"/>
        <v>13</v>
      </c>
      <c r="O14" s="1">
        <f t="shared" si="2"/>
        <v>14</v>
      </c>
      <c r="P14" s="1">
        <f t="shared" si="2"/>
        <v>15</v>
      </c>
      <c r="Q14" s="1">
        <f t="shared" si="2"/>
        <v>16</v>
      </c>
      <c r="R14" s="1">
        <f t="shared" si="2"/>
        <v>17</v>
      </c>
      <c r="S14" s="1">
        <f t="shared" si="2"/>
        <v>18</v>
      </c>
      <c r="T14" s="1">
        <f t="shared" si="2"/>
        <v>19</v>
      </c>
      <c r="U14" s="1">
        <f t="shared" si="2"/>
        <v>20</v>
      </c>
      <c r="V14" s="1">
        <f t="shared" si="2"/>
        <v>21</v>
      </c>
      <c r="W14" s="1">
        <f t="shared" si="2"/>
        <v>22</v>
      </c>
      <c r="X14" s="1">
        <f t="shared" si="2"/>
        <v>23</v>
      </c>
      <c r="Y14" s="1">
        <f t="shared" si="2"/>
        <v>24</v>
      </c>
      <c r="Z14" s="1">
        <f t="shared" si="2"/>
        <v>25</v>
      </c>
      <c r="AA14" s="1">
        <f t="shared" si="2"/>
        <v>26</v>
      </c>
      <c r="AB14" s="1">
        <f t="shared" si="2"/>
        <v>27</v>
      </c>
      <c r="AC14" s="1">
        <f t="shared" si="2"/>
        <v>28</v>
      </c>
      <c r="AD14" s="1">
        <f t="shared" si="2"/>
        <v>29</v>
      </c>
      <c r="AE14" s="1">
        <f t="shared" si="2"/>
        <v>30</v>
      </c>
      <c r="AF14" s="1">
        <f t="shared" si="2"/>
        <v>31</v>
      </c>
      <c r="AG14" s="1">
        <f t="shared" si="2"/>
        <v>32</v>
      </c>
      <c r="AH14" s="1">
        <f t="shared" si="2"/>
        <v>33</v>
      </c>
      <c r="AI14" s="1">
        <f t="shared" si="2"/>
        <v>34</v>
      </c>
      <c r="AJ14" s="1">
        <f t="shared" si="2"/>
        <v>35</v>
      </c>
      <c r="AK14" s="1">
        <f t="shared" si="2"/>
        <v>36</v>
      </c>
      <c r="AL14" s="1">
        <f t="shared" si="2"/>
        <v>37</v>
      </c>
      <c r="AM14" s="1">
        <f t="shared" si="2"/>
        <v>38</v>
      </c>
      <c r="AN14" s="1">
        <f t="shared" si="2"/>
        <v>39</v>
      </c>
      <c r="AO14" s="1">
        <f t="shared" si="2"/>
        <v>40</v>
      </c>
      <c r="AP14" s="1">
        <f t="shared" si="2"/>
        <v>41</v>
      </c>
      <c r="AQ14" s="1">
        <f t="shared" si="2"/>
        <v>42</v>
      </c>
      <c r="AR14" s="1">
        <f t="shared" si="2"/>
        <v>43</v>
      </c>
      <c r="AS14" s="1">
        <f t="shared" si="2"/>
        <v>44</v>
      </c>
      <c r="AT14" s="1">
        <f t="shared" si="2"/>
        <v>45</v>
      </c>
      <c r="AU14" s="1">
        <f t="shared" si="2"/>
        <v>46</v>
      </c>
      <c r="AV14" s="1">
        <f t="shared" si="2"/>
        <v>47</v>
      </c>
      <c r="AW14" s="1">
        <f t="shared" si="2"/>
        <v>48</v>
      </c>
      <c r="AX14" s="1">
        <f t="shared" si="2"/>
        <v>49</v>
      </c>
      <c r="AY14" s="1">
        <f t="shared" si="2"/>
        <v>50</v>
      </c>
      <c r="AZ14" s="1">
        <f t="shared" si="2"/>
        <v>51</v>
      </c>
      <c r="BA14" s="1">
        <f t="shared" si="2"/>
        <v>52</v>
      </c>
      <c r="BB14" s="1">
        <f t="shared" si="2"/>
        <v>53</v>
      </c>
      <c r="BC14" s="1">
        <f t="shared" si="2"/>
        <v>54</v>
      </c>
      <c r="BD14" s="1">
        <f t="shared" si="2"/>
        <v>55</v>
      </c>
      <c r="BE14" s="1">
        <f t="shared" si="2"/>
        <v>56</v>
      </c>
      <c r="BF14" s="1">
        <f t="shared" si="2"/>
        <v>57</v>
      </c>
      <c r="BG14" s="1">
        <f t="shared" si="2"/>
        <v>58</v>
      </c>
      <c r="BH14" s="1">
        <f t="shared" si="2"/>
        <v>59</v>
      </c>
      <c r="BI14" s="1">
        <f t="shared" si="2"/>
        <v>60</v>
      </c>
      <c r="BJ14" s="1">
        <f t="shared" si="2"/>
        <v>61</v>
      </c>
      <c r="BK14" s="1">
        <f t="shared" si="2"/>
        <v>62</v>
      </c>
      <c r="BL14" s="1">
        <f t="shared" si="2"/>
        <v>63</v>
      </c>
      <c r="BM14" s="1">
        <f t="shared" si="2"/>
        <v>64</v>
      </c>
      <c r="BN14" s="1">
        <f t="shared" si="2"/>
        <v>65</v>
      </c>
      <c r="BO14" s="1">
        <f t="shared" si="2"/>
        <v>66</v>
      </c>
      <c r="BP14" s="1">
        <f t="shared" ref="BP14:CV14" si="3">BO14+1</f>
        <v>67</v>
      </c>
      <c r="BQ14" s="1">
        <f t="shared" si="3"/>
        <v>68</v>
      </c>
      <c r="BR14" s="1">
        <f t="shared" si="3"/>
        <v>69</v>
      </c>
      <c r="BS14" s="1">
        <f t="shared" si="3"/>
        <v>70</v>
      </c>
      <c r="BT14" s="1">
        <f t="shared" si="3"/>
        <v>71</v>
      </c>
      <c r="BU14" s="1">
        <f t="shared" si="3"/>
        <v>72</v>
      </c>
      <c r="BV14" s="1">
        <f t="shared" si="3"/>
        <v>73</v>
      </c>
      <c r="BW14" s="1">
        <f t="shared" si="3"/>
        <v>74</v>
      </c>
      <c r="BX14" s="1">
        <f t="shared" si="3"/>
        <v>75</v>
      </c>
      <c r="BY14" s="1">
        <f t="shared" si="3"/>
        <v>76</v>
      </c>
      <c r="BZ14" s="1">
        <f t="shared" si="3"/>
        <v>77</v>
      </c>
      <c r="CA14" s="1">
        <f t="shared" si="3"/>
        <v>78</v>
      </c>
      <c r="CB14" s="1">
        <f t="shared" si="3"/>
        <v>79</v>
      </c>
      <c r="CC14" s="1">
        <f t="shared" si="3"/>
        <v>80</v>
      </c>
      <c r="CD14" s="1">
        <f t="shared" si="3"/>
        <v>81</v>
      </c>
      <c r="CE14" s="1">
        <f t="shared" si="3"/>
        <v>82</v>
      </c>
      <c r="CF14" s="1">
        <f t="shared" si="3"/>
        <v>83</v>
      </c>
      <c r="CG14" s="1">
        <f t="shared" si="3"/>
        <v>84</v>
      </c>
      <c r="CH14" s="1">
        <f t="shared" si="3"/>
        <v>85</v>
      </c>
      <c r="CI14" s="1">
        <f t="shared" si="3"/>
        <v>86</v>
      </c>
      <c r="CJ14" s="1">
        <f t="shared" si="3"/>
        <v>87</v>
      </c>
      <c r="CK14" s="1">
        <f t="shared" si="3"/>
        <v>88</v>
      </c>
      <c r="CL14" s="1">
        <f t="shared" si="3"/>
        <v>89</v>
      </c>
      <c r="CM14" s="1">
        <f t="shared" si="3"/>
        <v>90</v>
      </c>
      <c r="CN14" s="1">
        <f t="shared" si="3"/>
        <v>91</v>
      </c>
      <c r="CO14" s="1">
        <f t="shared" si="3"/>
        <v>92</v>
      </c>
      <c r="CP14" s="1">
        <f t="shared" si="3"/>
        <v>93</v>
      </c>
      <c r="CQ14" s="1">
        <f t="shared" si="3"/>
        <v>94</v>
      </c>
      <c r="CR14" s="1">
        <f t="shared" si="3"/>
        <v>95</v>
      </c>
      <c r="CS14" s="1">
        <f t="shared" si="3"/>
        <v>96</v>
      </c>
      <c r="CT14" s="1">
        <f t="shared" si="3"/>
        <v>97</v>
      </c>
      <c r="CU14" s="1">
        <f t="shared" si="3"/>
        <v>98</v>
      </c>
      <c r="CV14" s="1">
        <f t="shared" si="3"/>
        <v>99</v>
      </c>
      <c r="CW14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CX14"/>
  <sheetViews>
    <sheetView workbookViewId="0">
      <selection activeCell="B1" sqref="B1"/>
    </sheetView>
  </sheetViews>
  <sheetFormatPr defaultRowHeight="15" x14ac:dyDescent="0.25"/>
  <cols>
    <col min="2" max="2" width="40.85546875" customWidth="1"/>
    <col min="3" max="20" width="4" bestFit="1" customWidth="1"/>
    <col min="21" max="59" width="5" bestFit="1" customWidth="1"/>
    <col min="60" max="60" width="6" bestFit="1" customWidth="1"/>
    <col min="61" max="61" width="5" bestFit="1" customWidth="1"/>
    <col min="62" max="62" width="6" bestFit="1" customWidth="1"/>
    <col min="63" max="63" width="5" bestFit="1" customWidth="1"/>
    <col min="64" max="64" width="6" bestFit="1" customWidth="1"/>
    <col min="65" max="65" width="5" bestFit="1" customWidth="1"/>
    <col min="66" max="66" width="6" bestFit="1" customWidth="1"/>
    <col min="67" max="67" width="5" bestFit="1" customWidth="1"/>
    <col min="68" max="68" width="6" bestFit="1" customWidth="1"/>
    <col min="69" max="70" width="5" bestFit="1" customWidth="1"/>
    <col min="71" max="72" width="6" bestFit="1" customWidth="1"/>
    <col min="73" max="73" width="5" bestFit="1" customWidth="1"/>
    <col min="74" max="74" width="7" bestFit="1" customWidth="1"/>
    <col min="75" max="75" width="6" bestFit="1" customWidth="1"/>
    <col min="76" max="76" width="7" bestFit="1" customWidth="1"/>
    <col min="77" max="77" width="5" bestFit="1" customWidth="1"/>
    <col min="78" max="78" width="7" bestFit="1" customWidth="1"/>
    <col min="79" max="79" width="6" bestFit="1" customWidth="1"/>
    <col min="80" max="80" width="7" bestFit="1" customWidth="1"/>
    <col min="81" max="81" width="5" bestFit="1" customWidth="1"/>
    <col min="82" max="82" width="7" bestFit="1" customWidth="1"/>
    <col min="83" max="83" width="6" bestFit="1" customWidth="1"/>
    <col min="84" max="84" width="7" bestFit="1" customWidth="1"/>
    <col min="85" max="85" width="5" bestFit="1" customWidth="1"/>
    <col min="86" max="86" width="7" bestFit="1" customWidth="1"/>
    <col min="87" max="87" width="6" bestFit="1" customWidth="1"/>
    <col min="88" max="88" width="7" bestFit="1" customWidth="1"/>
    <col min="89" max="89" width="5" bestFit="1" customWidth="1"/>
    <col min="90" max="90" width="7" bestFit="1" customWidth="1"/>
    <col min="91" max="91" width="6" bestFit="1" customWidth="1"/>
    <col min="92" max="92" width="7" bestFit="1" customWidth="1"/>
    <col min="93" max="93" width="5" bestFit="1" customWidth="1"/>
    <col min="94" max="94" width="7" bestFit="1" customWidth="1"/>
    <col min="95" max="95" width="6" bestFit="1" customWidth="1"/>
    <col min="96" max="96" width="7" bestFit="1" customWidth="1"/>
    <col min="97" max="97" width="5" bestFit="1" customWidth="1"/>
    <col min="98" max="98" width="7" bestFit="1" customWidth="1"/>
    <col min="99" max="99" width="6" bestFit="1" customWidth="1"/>
    <col min="100" max="100" width="7" bestFit="1" customWidth="1"/>
    <col min="101" max="101" width="5.5703125" bestFit="1" customWidth="1"/>
  </cols>
  <sheetData>
    <row r="1" spans="2:102" ht="150" x14ac:dyDescent="0.25">
      <c r="B1" s="3" t="s">
        <v>181</v>
      </c>
      <c r="C1" s="4">
        <v>7</v>
      </c>
      <c r="D1" s="4">
        <v>10</v>
      </c>
      <c r="E1" s="4">
        <v>14</v>
      </c>
      <c r="F1" s="4">
        <v>18</v>
      </c>
      <c r="G1" s="4">
        <v>21</v>
      </c>
      <c r="H1" s="4">
        <v>24</v>
      </c>
      <c r="I1" s="4">
        <v>28</v>
      </c>
      <c r="J1" s="4">
        <v>32</v>
      </c>
      <c r="K1" s="4">
        <v>35</v>
      </c>
      <c r="L1" s="4">
        <v>38</v>
      </c>
      <c r="M1" s="4">
        <v>42</v>
      </c>
      <c r="N1" s="4">
        <v>46</v>
      </c>
      <c r="O1" s="4">
        <v>49</v>
      </c>
      <c r="P1" s="4">
        <v>52</v>
      </c>
      <c r="Q1" s="4">
        <v>56</v>
      </c>
      <c r="R1" s="4">
        <v>60</v>
      </c>
      <c r="S1" s="4">
        <v>63</v>
      </c>
      <c r="T1" s="4">
        <v>66</v>
      </c>
      <c r="U1" s="4">
        <v>70</v>
      </c>
      <c r="V1" s="4">
        <v>74</v>
      </c>
      <c r="W1" s="4">
        <v>77</v>
      </c>
      <c r="X1" s="4">
        <v>80</v>
      </c>
      <c r="Y1" s="4">
        <v>84</v>
      </c>
      <c r="Z1" s="4">
        <v>88</v>
      </c>
      <c r="AA1" s="4">
        <v>91</v>
      </c>
      <c r="AB1" s="4">
        <v>94</v>
      </c>
      <c r="AC1" s="4">
        <v>98</v>
      </c>
      <c r="AD1" s="4">
        <v>102</v>
      </c>
      <c r="AE1" s="4">
        <v>105</v>
      </c>
      <c r="AF1" s="4">
        <v>108</v>
      </c>
      <c r="AG1" s="4">
        <v>112</v>
      </c>
      <c r="AH1" s="4">
        <v>116</v>
      </c>
      <c r="AI1" s="4">
        <v>119</v>
      </c>
      <c r="AJ1" s="4">
        <v>122</v>
      </c>
      <c r="AK1" s="4">
        <v>126</v>
      </c>
      <c r="AL1" s="4">
        <v>130</v>
      </c>
      <c r="AM1" s="4">
        <v>133</v>
      </c>
      <c r="AN1" s="4">
        <v>136</v>
      </c>
      <c r="AO1" s="4">
        <v>140</v>
      </c>
      <c r="AP1" s="4">
        <v>144</v>
      </c>
      <c r="AQ1" s="4">
        <v>147</v>
      </c>
      <c r="AR1" s="4">
        <v>150</v>
      </c>
      <c r="AS1" s="4">
        <v>154</v>
      </c>
      <c r="AT1" s="4">
        <v>158</v>
      </c>
      <c r="AU1" s="4">
        <v>161</v>
      </c>
      <c r="AV1" s="4">
        <v>164</v>
      </c>
      <c r="AW1" s="4">
        <v>168</v>
      </c>
      <c r="AX1" s="4">
        <v>172</v>
      </c>
      <c r="AY1" s="4">
        <v>175</v>
      </c>
      <c r="AZ1" s="4">
        <f>AY1+3</f>
        <v>178</v>
      </c>
      <c r="BA1" s="4">
        <f t="shared" ref="BA1:BU1" si="0">AZ1+3</f>
        <v>181</v>
      </c>
      <c r="BB1" s="4">
        <f t="shared" si="0"/>
        <v>184</v>
      </c>
      <c r="BC1" s="4">
        <f t="shared" si="0"/>
        <v>187</v>
      </c>
      <c r="BD1" s="4">
        <f t="shared" si="0"/>
        <v>190</v>
      </c>
      <c r="BE1" s="4">
        <f t="shared" si="0"/>
        <v>193</v>
      </c>
      <c r="BF1" s="4">
        <f t="shared" si="0"/>
        <v>196</v>
      </c>
      <c r="BG1" s="4">
        <f t="shared" si="0"/>
        <v>199</v>
      </c>
      <c r="BH1" s="4">
        <f t="shared" si="0"/>
        <v>202</v>
      </c>
      <c r="BI1" s="4">
        <f t="shared" si="0"/>
        <v>205</v>
      </c>
      <c r="BJ1" s="4">
        <f t="shared" si="0"/>
        <v>208</v>
      </c>
      <c r="BK1" s="4">
        <f t="shared" si="0"/>
        <v>211</v>
      </c>
      <c r="BL1" s="4">
        <f t="shared" si="0"/>
        <v>214</v>
      </c>
      <c r="BM1" s="4">
        <f t="shared" si="0"/>
        <v>217</v>
      </c>
      <c r="BN1" s="4">
        <f t="shared" si="0"/>
        <v>220</v>
      </c>
      <c r="BO1" s="4">
        <f t="shared" si="0"/>
        <v>223</v>
      </c>
      <c r="BP1" s="4">
        <f t="shared" si="0"/>
        <v>226</v>
      </c>
      <c r="BQ1" s="4">
        <f t="shared" si="0"/>
        <v>229</v>
      </c>
      <c r="BR1" s="4">
        <f t="shared" si="0"/>
        <v>232</v>
      </c>
      <c r="BS1" s="4">
        <f t="shared" si="0"/>
        <v>235</v>
      </c>
      <c r="BT1" s="4">
        <f t="shared" si="0"/>
        <v>238</v>
      </c>
      <c r="BU1" s="4">
        <f t="shared" si="0"/>
        <v>241</v>
      </c>
      <c r="BV1" s="4">
        <f>BU1+1.5</f>
        <v>242.5</v>
      </c>
      <c r="BW1" s="4">
        <f t="shared" ref="BW1:CV1" si="1">BV1+1.5</f>
        <v>244</v>
      </c>
      <c r="BX1" s="4">
        <f t="shared" si="1"/>
        <v>245.5</v>
      </c>
      <c r="BY1" s="4">
        <f t="shared" si="1"/>
        <v>247</v>
      </c>
      <c r="BZ1" s="4">
        <f t="shared" si="1"/>
        <v>248.5</v>
      </c>
      <c r="CA1" s="4">
        <f t="shared" si="1"/>
        <v>250</v>
      </c>
      <c r="CB1" s="4">
        <f t="shared" si="1"/>
        <v>251.5</v>
      </c>
      <c r="CC1" s="4">
        <f t="shared" si="1"/>
        <v>253</v>
      </c>
      <c r="CD1" s="4">
        <f t="shared" si="1"/>
        <v>254.5</v>
      </c>
      <c r="CE1" s="4">
        <f t="shared" si="1"/>
        <v>256</v>
      </c>
      <c r="CF1" s="4">
        <f t="shared" si="1"/>
        <v>257.5</v>
      </c>
      <c r="CG1" s="4">
        <f t="shared" si="1"/>
        <v>259</v>
      </c>
      <c r="CH1" s="4">
        <f t="shared" si="1"/>
        <v>260.5</v>
      </c>
      <c r="CI1" s="4">
        <f t="shared" si="1"/>
        <v>262</v>
      </c>
      <c r="CJ1" s="4">
        <f t="shared" si="1"/>
        <v>263.5</v>
      </c>
      <c r="CK1" s="4">
        <f t="shared" si="1"/>
        <v>265</v>
      </c>
      <c r="CL1" s="4">
        <f t="shared" si="1"/>
        <v>266.5</v>
      </c>
      <c r="CM1" s="4">
        <f t="shared" si="1"/>
        <v>268</v>
      </c>
      <c r="CN1" s="4">
        <f t="shared" si="1"/>
        <v>269.5</v>
      </c>
      <c r="CO1" s="4">
        <f t="shared" si="1"/>
        <v>271</v>
      </c>
      <c r="CP1" s="4">
        <f t="shared" si="1"/>
        <v>272.5</v>
      </c>
      <c r="CQ1" s="4">
        <f t="shared" si="1"/>
        <v>274</v>
      </c>
      <c r="CR1" s="4">
        <f t="shared" si="1"/>
        <v>275.5</v>
      </c>
      <c r="CS1" s="4">
        <f t="shared" si="1"/>
        <v>277</v>
      </c>
      <c r="CT1" s="4">
        <f t="shared" si="1"/>
        <v>278.5</v>
      </c>
      <c r="CU1" s="4">
        <f t="shared" si="1"/>
        <v>280</v>
      </c>
      <c r="CV1" s="4">
        <f t="shared" si="1"/>
        <v>281.5</v>
      </c>
      <c r="CW1" s="4" t="s">
        <v>148</v>
      </c>
    </row>
    <row r="2" spans="2:102" ht="135" x14ac:dyDescent="0.25">
      <c r="B2" s="3" t="s">
        <v>182</v>
      </c>
      <c r="C2" s="4">
        <v>3</v>
      </c>
      <c r="D2" s="4">
        <v>4</v>
      </c>
      <c r="E2" s="4">
        <v>6</v>
      </c>
      <c r="F2" s="4">
        <v>8</v>
      </c>
      <c r="G2" s="4">
        <v>9</v>
      </c>
      <c r="H2" s="4">
        <v>10</v>
      </c>
      <c r="I2" s="4">
        <v>12</v>
      </c>
      <c r="J2" s="4">
        <v>14</v>
      </c>
      <c r="K2" s="4">
        <v>15</v>
      </c>
      <c r="L2" s="4">
        <v>16</v>
      </c>
      <c r="M2" s="4">
        <v>18</v>
      </c>
      <c r="N2" s="4">
        <v>20</v>
      </c>
      <c r="O2" s="4">
        <v>21</v>
      </c>
      <c r="P2" s="4">
        <v>22</v>
      </c>
      <c r="Q2" s="4">
        <v>24</v>
      </c>
      <c r="R2" s="4">
        <v>26</v>
      </c>
      <c r="S2" s="4">
        <v>27</v>
      </c>
      <c r="T2" s="4">
        <v>28</v>
      </c>
      <c r="U2" s="4">
        <v>30</v>
      </c>
      <c r="V2" s="4">
        <v>32</v>
      </c>
      <c r="W2" s="4">
        <v>33</v>
      </c>
      <c r="X2" s="4">
        <v>34</v>
      </c>
      <c r="Y2" s="4">
        <v>36</v>
      </c>
      <c r="Z2" s="4">
        <v>38</v>
      </c>
      <c r="AA2" s="4">
        <v>39</v>
      </c>
      <c r="AB2" s="4">
        <v>40</v>
      </c>
      <c r="AC2" s="4">
        <v>42</v>
      </c>
      <c r="AD2" s="4">
        <v>44</v>
      </c>
      <c r="AE2" s="4">
        <v>45</v>
      </c>
      <c r="AF2" s="4">
        <v>46</v>
      </c>
      <c r="AG2" s="4">
        <v>48</v>
      </c>
      <c r="AH2" s="4">
        <v>50</v>
      </c>
      <c r="AI2" s="4">
        <v>51</v>
      </c>
      <c r="AJ2" s="4">
        <v>52</v>
      </c>
      <c r="AK2" s="4">
        <v>54</v>
      </c>
      <c r="AL2" s="4">
        <v>56</v>
      </c>
      <c r="AM2" s="4">
        <v>57</v>
      </c>
      <c r="AN2" s="4">
        <v>58</v>
      </c>
      <c r="AO2" s="4">
        <v>60</v>
      </c>
      <c r="AP2" s="4">
        <v>62</v>
      </c>
      <c r="AQ2" s="4">
        <v>63</v>
      </c>
      <c r="AR2" s="4">
        <v>64</v>
      </c>
      <c r="AS2" s="4">
        <v>66</v>
      </c>
      <c r="AT2" s="4">
        <v>68</v>
      </c>
      <c r="AU2" s="4">
        <v>69</v>
      </c>
      <c r="AV2" s="4">
        <v>70</v>
      </c>
      <c r="AW2" s="4">
        <v>72</v>
      </c>
      <c r="AX2" s="4">
        <v>74</v>
      </c>
      <c r="AY2" s="4">
        <v>75</v>
      </c>
      <c r="AZ2" s="4">
        <f>AY2+1</f>
        <v>76</v>
      </c>
      <c r="BA2" s="4">
        <f t="shared" ref="BA2:BU2" si="2">AZ2+1</f>
        <v>77</v>
      </c>
      <c r="BB2" s="4">
        <f t="shared" si="2"/>
        <v>78</v>
      </c>
      <c r="BC2" s="4">
        <f t="shared" si="2"/>
        <v>79</v>
      </c>
      <c r="BD2" s="4">
        <f t="shared" si="2"/>
        <v>80</v>
      </c>
      <c r="BE2" s="4">
        <f t="shared" si="2"/>
        <v>81</v>
      </c>
      <c r="BF2" s="4">
        <f t="shared" si="2"/>
        <v>82</v>
      </c>
      <c r="BG2" s="4">
        <f t="shared" si="2"/>
        <v>83</v>
      </c>
      <c r="BH2" s="4">
        <f t="shared" si="2"/>
        <v>84</v>
      </c>
      <c r="BI2" s="4">
        <f t="shared" si="2"/>
        <v>85</v>
      </c>
      <c r="BJ2" s="4">
        <f t="shared" si="2"/>
        <v>86</v>
      </c>
      <c r="BK2" s="4">
        <f t="shared" si="2"/>
        <v>87</v>
      </c>
      <c r="BL2" s="4">
        <f t="shared" si="2"/>
        <v>88</v>
      </c>
      <c r="BM2" s="4">
        <f t="shared" si="2"/>
        <v>89</v>
      </c>
      <c r="BN2" s="4">
        <f t="shared" si="2"/>
        <v>90</v>
      </c>
      <c r="BO2" s="4">
        <f t="shared" si="2"/>
        <v>91</v>
      </c>
      <c r="BP2" s="4">
        <f t="shared" si="2"/>
        <v>92</v>
      </c>
      <c r="BQ2" s="4">
        <f t="shared" si="2"/>
        <v>93</v>
      </c>
      <c r="BR2" s="4">
        <f t="shared" si="2"/>
        <v>94</v>
      </c>
      <c r="BS2" s="4">
        <f t="shared" si="2"/>
        <v>95</v>
      </c>
      <c r="BT2" s="4">
        <f t="shared" si="2"/>
        <v>96</v>
      </c>
      <c r="BU2" s="4">
        <f t="shared" si="2"/>
        <v>97</v>
      </c>
      <c r="BV2" s="4">
        <f>BU2+0.5</f>
        <v>97.5</v>
      </c>
      <c r="BW2" s="4">
        <f t="shared" ref="BW2:CV2" si="3">BV2+0.5</f>
        <v>98</v>
      </c>
      <c r="BX2" s="4">
        <f t="shared" si="3"/>
        <v>98.5</v>
      </c>
      <c r="BY2" s="4">
        <f t="shared" si="3"/>
        <v>99</v>
      </c>
      <c r="BZ2" s="4">
        <f t="shared" si="3"/>
        <v>99.5</v>
      </c>
      <c r="CA2" s="4">
        <f t="shared" si="3"/>
        <v>100</v>
      </c>
      <c r="CB2" s="4">
        <f t="shared" si="3"/>
        <v>100.5</v>
      </c>
      <c r="CC2" s="4">
        <f t="shared" si="3"/>
        <v>101</v>
      </c>
      <c r="CD2" s="4">
        <f t="shared" si="3"/>
        <v>101.5</v>
      </c>
      <c r="CE2" s="4">
        <f t="shared" si="3"/>
        <v>102</v>
      </c>
      <c r="CF2" s="4">
        <f t="shared" si="3"/>
        <v>102.5</v>
      </c>
      <c r="CG2" s="4">
        <f t="shared" si="3"/>
        <v>103</v>
      </c>
      <c r="CH2" s="4">
        <f t="shared" si="3"/>
        <v>103.5</v>
      </c>
      <c r="CI2" s="4">
        <f t="shared" si="3"/>
        <v>104</v>
      </c>
      <c r="CJ2" s="4">
        <f t="shared" si="3"/>
        <v>104.5</v>
      </c>
      <c r="CK2" s="4">
        <f t="shared" si="3"/>
        <v>105</v>
      </c>
      <c r="CL2" s="4">
        <f t="shared" si="3"/>
        <v>105.5</v>
      </c>
      <c r="CM2" s="4">
        <f t="shared" si="3"/>
        <v>106</v>
      </c>
      <c r="CN2" s="4">
        <f t="shared" si="3"/>
        <v>106.5</v>
      </c>
      <c r="CO2" s="4">
        <f t="shared" si="3"/>
        <v>107</v>
      </c>
      <c r="CP2" s="4">
        <f t="shared" si="3"/>
        <v>107.5</v>
      </c>
      <c r="CQ2" s="4">
        <f t="shared" si="3"/>
        <v>108</v>
      </c>
      <c r="CR2" s="4">
        <f t="shared" si="3"/>
        <v>108.5</v>
      </c>
      <c r="CS2" s="4">
        <f t="shared" si="3"/>
        <v>109</v>
      </c>
      <c r="CT2" s="4">
        <f t="shared" si="3"/>
        <v>109.5</v>
      </c>
      <c r="CU2" s="4">
        <f t="shared" si="3"/>
        <v>110</v>
      </c>
      <c r="CV2" s="4">
        <f t="shared" si="3"/>
        <v>110.5</v>
      </c>
      <c r="CW2" s="4" t="s">
        <v>149</v>
      </c>
    </row>
    <row r="3" spans="2:102" ht="180" x14ac:dyDescent="0.25">
      <c r="B3" s="3" t="s">
        <v>183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  <c r="N3" s="4">
        <v>650</v>
      </c>
      <c r="O3" s="4">
        <v>700</v>
      </c>
      <c r="P3" s="4">
        <v>750</v>
      </c>
      <c r="Q3" s="4">
        <v>800</v>
      </c>
      <c r="R3" s="4">
        <v>850</v>
      </c>
      <c r="S3" s="4">
        <v>900</v>
      </c>
      <c r="T3" s="4">
        <v>950</v>
      </c>
      <c r="U3" s="4">
        <v>1000</v>
      </c>
      <c r="V3" s="4">
        <v>1050</v>
      </c>
      <c r="W3" s="4">
        <v>1100</v>
      </c>
      <c r="X3" s="4">
        <v>1150</v>
      </c>
      <c r="Y3" s="4">
        <v>1200</v>
      </c>
      <c r="Z3" s="4">
        <v>1250</v>
      </c>
      <c r="AA3" s="4">
        <v>1300</v>
      </c>
      <c r="AB3" s="4">
        <v>1350</v>
      </c>
      <c r="AC3" s="4">
        <v>1400</v>
      </c>
      <c r="AD3" s="4">
        <v>1450</v>
      </c>
      <c r="AE3" s="4">
        <v>1500</v>
      </c>
      <c r="AF3" s="4">
        <v>1550</v>
      </c>
      <c r="AG3" s="4">
        <v>1600</v>
      </c>
      <c r="AH3" s="4">
        <v>1650</v>
      </c>
      <c r="AI3" s="4">
        <v>1700</v>
      </c>
      <c r="AJ3" s="4">
        <v>1750</v>
      </c>
      <c r="AK3" s="4">
        <v>1800</v>
      </c>
      <c r="AL3" s="4">
        <v>1850</v>
      </c>
      <c r="AM3" s="4">
        <v>1900</v>
      </c>
      <c r="AN3" s="4">
        <v>1950</v>
      </c>
      <c r="AO3" s="4">
        <v>2000</v>
      </c>
      <c r="AP3" s="4">
        <v>2050</v>
      </c>
      <c r="AQ3" s="4">
        <v>2100</v>
      </c>
      <c r="AR3" s="4">
        <v>2150</v>
      </c>
      <c r="AS3" s="4">
        <v>2200</v>
      </c>
      <c r="AT3" s="4">
        <v>2250</v>
      </c>
      <c r="AU3" s="4">
        <v>2300</v>
      </c>
      <c r="AV3" s="4">
        <v>2350</v>
      </c>
      <c r="AW3" s="4">
        <v>2400</v>
      </c>
      <c r="AX3" s="4">
        <v>2450</v>
      </c>
      <c r="AY3" s="4">
        <v>2500</v>
      </c>
      <c r="AZ3" s="4">
        <f>AY3+50</f>
        <v>2550</v>
      </c>
      <c r="BA3" s="4">
        <f t="shared" ref="BA3:BU3" si="4">AZ3+50</f>
        <v>2600</v>
      </c>
      <c r="BB3" s="4">
        <f t="shared" si="4"/>
        <v>2650</v>
      </c>
      <c r="BC3" s="4">
        <f t="shared" si="4"/>
        <v>2700</v>
      </c>
      <c r="BD3" s="4">
        <f t="shared" si="4"/>
        <v>2750</v>
      </c>
      <c r="BE3" s="4">
        <f t="shared" si="4"/>
        <v>2800</v>
      </c>
      <c r="BF3" s="4">
        <f t="shared" si="4"/>
        <v>2850</v>
      </c>
      <c r="BG3" s="4">
        <f t="shared" si="4"/>
        <v>2900</v>
      </c>
      <c r="BH3" s="4">
        <f t="shared" si="4"/>
        <v>2950</v>
      </c>
      <c r="BI3" s="4">
        <f t="shared" si="4"/>
        <v>3000</v>
      </c>
      <c r="BJ3" s="4">
        <f t="shared" si="4"/>
        <v>3050</v>
      </c>
      <c r="BK3" s="4">
        <f t="shared" si="4"/>
        <v>3100</v>
      </c>
      <c r="BL3" s="4">
        <f t="shared" si="4"/>
        <v>3150</v>
      </c>
      <c r="BM3" s="4">
        <f t="shared" si="4"/>
        <v>3200</v>
      </c>
      <c r="BN3" s="4">
        <f t="shared" si="4"/>
        <v>3250</v>
      </c>
      <c r="BO3" s="4">
        <f t="shared" si="4"/>
        <v>3300</v>
      </c>
      <c r="BP3" s="4">
        <f t="shared" si="4"/>
        <v>3350</v>
      </c>
      <c r="BQ3" s="4">
        <f t="shared" si="4"/>
        <v>3400</v>
      </c>
      <c r="BR3" s="4">
        <f t="shared" si="4"/>
        <v>3450</v>
      </c>
      <c r="BS3" s="4">
        <f t="shared" si="4"/>
        <v>3500</v>
      </c>
      <c r="BT3" s="4">
        <f t="shared" si="4"/>
        <v>3550</v>
      </c>
      <c r="BU3" s="4">
        <f t="shared" si="4"/>
        <v>3600</v>
      </c>
      <c r="BV3" s="4">
        <f>BU3+25</f>
        <v>3625</v>
      </c>
      <c r="BW3" s="4">
        <f t="shared" ref="BW3:CV3" si="5">BV3+25</f>
        <v>3650</v>
      </c>
      <c r="BX3" s="4">
        <f t="shared" si="5"/>
        <v>3675</v>
      </c>
      <c r="BY3" s="4">
        <f t="shared" si="5"/>
        <v>3700</v>
      </c>
      <c r="BZ3" s="4">
        <f t="shared" si="5"/>
        <v>3725</v>
      </c>
      <c r="CA3" s="4">
        <f t="shared" si="5"/>
        <v>3750</v>
      </c>
      <c r="CB3" s="4">
        <f t="shared" si="5"/>
        <v>3775</v>
      </c>
      <c r="CC3" s="4">
        <f t="shared" si="5"/>
        <v>3800</v>
      </c>
      <c r="CD3" s="4">
        <f t="shared" si="5"/>
        <v>3825</v>
      </c>
      <c r="CE3" s="4">
        <f t="shared" si="5"/>
        <v>3850</v>
      </c>
      <c r="CF3" s="4">
        <f t="shared" si="5"/>
        <v>3875</v>
      </c>
      <c r="CG3" s="4">
        <f t="shared" si="5"/>
        <v>3900</v>
      </c>
      <c r="CH3" s="4">
        <f t="shared" si="5"/>
        <v>3925</v>
      </c>
      <c r="CI3" s="4">
        <f t="shared" si="5"/>
        <v>3950</v>
      </c>
      <c r="CJ3" s="4">
        <f t="shared" si="5"/>
        <v>3975</v>
      </c>
      <c r="CK3" s="4">
        <f t="shared" si="5"/>
        <v>4000</v>
      </c>
      <c r="CL3" s="4">
        <f t="shared" si="5"/>
        <v>4025</v>
      </c>
      <c r="CM3" s="4">
        <f t="shared" si="5"/>
        <v>4050</v>
      </c>
      <c r="CN3" s="4">
        <f t="shared" si="5"/>
        <v>4075</v>
      </c>
      <c r="CO3" s="4">
        <f t="shared" si="5"/>
        <v>4100</v>
      </c>
      <c r="CP3" s="4">
        <f t="shared" si="5"/>
        <v>4125</v>
      </c>
      <c r="CQ3" s="4">
        <f t="shared" si="5"/>
        <v>4150</v>
      </c>
      <c r="CR3" s="4">
        <f t="shared" si="5"/>
        <v>4175</v>
      </c>
      <c r="CS3" s="4">
        <f t="shared" si="5"/>
        <v>4200</v>
      </c>
      <c r="CT3" s="4">
        <f t="shared" si="5"/>
        <v>4225</v>
      </c>
      <c r="CU3" s="4">
        <f t="shared" si="5"/>
        <v>4250</v>
      </c>
      <c r="CV3" s="4">
        <f t="shared" si="5"/>
        <v>4275</v>
      </c>
      <c r="CW3" s="4" t="s">
        <v>150</v>
      </c>
    </row>
    <row r="4" spans="2:102" ht="150" x14ac:dyDescent="0.25">
      <c r="B4" s="3" t="s">
        <v>184</v>
      </c>
      <c r="C4" s="4">
        <v>20</v>
      </c>
      <c r="D4" s="4">
        <v>30</v>
      </c>
      <c r="E4" s="4">
        <v>40</v>
      </c>
      <c r="F4" s="4">
        <v>50</v>
      </c>
      <c r="G4" s="4">
        <v>60</v>
      </c>
      <c r="H4" s="4">
        <v>70</v>
      </c>
      <c r="I4" s="4">
        <v>80</v>
      </c>
      <c r="J4" s="4">
        <v>90</v>
      </c>
      <c r="K4" s="4">
        <v>100</v>
      </c>
      <c r="L4" s="4">
        <v>110</v>
      </c>
      <c r="M4" s="4">
        <v>120</v>
      </c>
      <c r="N4" s="4">
        <v>130</v>
      </c>
      <c r="O4" s="4">
        <v>140</v>
      </c>
      <c r="P4" s="4">
        <v>150</v>
      </c>
      <c r="Q4" s="4">
        <v>160</v>
      </c>
      <c r="R4" s="4">
        <v>170</v>
      </c>
      <c r="S4" s="4">
        <v>180</v>
      </c>
      <c r="T4" s="4">
        <v>190</v>
      </c>
      <c r="U4" s="4">
        <v>200</v>
      </c>
      <c r="V4" s="4">
        <v>210</v>
      </c>
      <c r="W4" s="4">
        <v>220</v>
      </c>
      <c r="X4" s="4">
        <v>230</v>
      </c>
      <c r="Y4" s="4">
        <v>240</v>
      </c>
      <c r="Z4" s="4">
        <v>250</v>
      </c>
      <c r="AA4" s="4">
        <v>260</v>
      </c>
      <c r="AB4" s="4">
        <v>270</v>
      </c>
      <c r="AC4" s="4">
        <v>280</v>
      </c>
      <c r="AD4" s="4">
        <v>290</v>
      </c>
      <c r="AE4" s="4">
        <v>300</v>
      </c>
      <c r="AF4" s="4">
        <v>310</v>
      </c>
      <c r="AG4" s="4">
        <v>320</v>
      </c>
      <c r="AH4" s="4">
        <v>330</v>
      </c>
      <c r="AI4" s="4">
        <v>340</v>
      </c>
      <c r="AJ4" s="4">
        <v>350</v>
      </c>
      <c r="AK4" s="4">
        <v>360</v>
      </c>
      <c r="AL4" s="4">
        <v>370</v>
      </c>
      <c r="AM4" s="4">
        <v>380</v>
      </c>
      <c r="AN4" s="4">
        <v>390</v>
      </c>
      <c r="AO4" s="4">
        <v>400</v>
      </c>
      <c r="AP4" s="4">
        <v>410</v>
      </c>
      <c r="AQ4" s="4">
        <v>420</v>
      </c>
      <c r="AR4" s="4">
        <v>430</v>
      </c>
      <c r="AS4" s="4">
        <v>440</v>
      </c>
      <c r="AT4" s="4">
        <v>450</v>
      </c>
      <c r="AU4" s="4">
        <v>460</v>
      </c>
      <c r="AV4" s="4">
        <v>470</v>
      </c>
      <c r="AW4" s="4">
        <v>480</v>
      </c>
      <c r="AX4" s="4">
        <v>490</v>
      </c>
      <c r="AY4" s="4">
        <v>500</v>
      </c>
      <c r="AZ4" s="4">
        <f>AY4+10</f>
        <v>510</v>
      </c>
      <c r="BA4" s="4">
        <f t="shared" ref="BA4:BU4" si="6">AZ4+10</f>
        <v>520</v>
      </c>
      <c r="BB4" s="4">
        <f t="shared" si="6"/>
        <v>530</v>
      </c>
      <c r="BC4" s="4">
        <f t="shared" si="6"/>
        <v>540</v>
      </c>
      <c r="BD4" s="4">
        <f t="shared" si="6"/>
        <v>550</v>
      </c>
      <c r="BE4" s="4">
        <f t="shared" si="6"/>
        <v>560</v>
      </c>
      <c r="BF4" s="4">
        <f t="shared" si="6"/>
        <v>570</v>
      </c>
      <c r="BG4" s="4">
        <f t="shared" si="6"/>
        <v>580</v>
      </c>
      <c r="BH4" s="4">
        <f t="shared" si="6"/>
        <v>590</v>
      </c>
      <c r="BI4" s="4">
        <f t="shared" si="6"/>
        <v>600</v>
      </c>
      <c r="BJ4" s="4">
        <f t="shared" si="6"/>
        <v>610</v>
      </c>
      <c r="BK4" s="4">
        <f t="shared" si="6"/>
        <v>620</v>
      </c>
      <c r="BL4" s="4">
        <f t="shared" si="6"/>
        <v>630</v>
      </c>
      <c r="BM4" s="4">
        <f t="shared" si="6"/>
        <v>640</v>
      </c>
      <c r="BN4" s="4">
        <f t="shared" si="6"/>
        <v>650</v>
      </c>
      <c r="BO4" s="4">
        <f t="shared" si="6"/>
        <v>660</v>
      </c>
      <c r="BP4" s="4">
        <f t="shared" si="6"/>
        <v>670</v>
      </c>
      <c r="BQ4" s="4">
        <f t="shared" si="6"/>
        <v>680</v>
      </c>
      <c r="BR4" s="4">
        <f t="shared" si="6"/>
        <v>690</v>
      </c>
      <c r="BS4" s="4">
        <f t="shared" si="6"/>
        <v>700</v>
      </c>
      <c r="BT4" s="4">
        <f t="shared" si="6"/>
        <v>710</v>
      </c>
      <c r="BU4" s="4">
        <f t="shared" si="6"/>
        <v>720</v>
      </c>
      <c r="BV4" s="4">
        <f>BU4+5</f>
        <v>725</v>
      </c>
      <c r="BW4" s="4">
        <f t="shared" ref="BW4:CV4" si="7">BV4+5</f>
        <v>730</v>
      </c>
      <c r="BX4" s="4">
        <f t="shared" si="7"/>
        <v>735</v>
      </c>
      <c r="BY4" s="4">
        <f t="shared" si="7"/>
        <v>740</v>
      </c>
      <c r="BZ4" s="4">
        <f t="shared" si="7"/>
        <v>745</v>
      </c>
      <c r="CA4" s="4">
        <f t="shared" si="7"/>
        <v>750</v>
      </c>
      <c r="CB4" s="4">
        <f t="shared" si="7"/>
        <v>755</v>
      </c>
      <c r="CC4" s="4">
        <f t="shared" si="7"/>
        <v>760</v>
      </c>
      <c r="CD4" s="4">
        <f t="shared" si="7"/>
        <v>765</v>
      </c>
      <c r="CE4" s="4">
        <f t="shared" si="7"/>
        <v>770</v>
      </c>
      <c r="CF4" s="4">
        <f t="shared" si="7"/>
        <v>775</v>
      </c>
      <c r="CG4" s="4">
        <f t="shared" si="7"/>
        <v>780</v>
      </c>
      <c r="CH4" s="4">
        <f t="shared" si="7"/>
        <v>785</v>
      </c>
      <c r="CI4" s="4">
        <f t="shared" si="7"/>
        <v>790</v>
      </c>
      <c r="CJ4" s="4">
        <f t="shared" si="7"/>
        <v>795</v>
      </c>
      <c r="CK4" s="4">
        <f t="shared" si="7"/>
        <v>800</v>
      </c>
      <c r="CL4" s="4">
        <f t="shared" si="7"/>
        <v>805</v>
      </c>
      <c r="CM4" s="4">
        <f t="shared" si="7"/>
        <v>810</v>
      </c>
      <c r="CN4" s="4">
        <f t="shared" si="7"/>
        <v>815</v>
      </c>
      <c r="CO4" s="4">
        <f t="shared" si="7"/>
        <v>820</v>
      </c>
      <c r="CP4" s="4">
        <f t="shared" si="7"/>
        <v>825</v>
      </c>
      <c r="CQ4" s="4">
        <f t="shared" si="7"/>
        <v>830</v>
      </c>
      <c r="CR4" s="4">
        <f t="shared" si="7"/>
        <v>835</v>
      </c>
      <c r="CS4" s="4">
        <f t="shared" si="7"/>
        <v>840</v>
      </c>
      <c r="CT4" s="4">
        <f t="shared" si="7"/>
        <v>845</v>
      </c>
      <c r="CU4" s="4">
        <f t="shared" si="7"/>
        <v>850</v>
      </c>
      <c r="CV4" s="4">
        <f t="shared" si="7"/>
        <v>855</v>
      </c>
      <c r="CW4" s="4" t="s">
        <v>151</v>
      </c>
    </row>
    <row r="5" spans="2:102" ht="150" x14ac:dyDescent="0.25">
      <c r="B5" s="3" t="s">
        <v>185</v>
      </c>
      <c r="C5" s="4">
        <v>7</v>
      </c>
      <c r="D5" s="4">
        <v>10</v>
      </c>
      <c r="E5" s="4">
        <v>14</v>
      </c>
      <c r="F5" s="4">
        <v>18</v>
      </c>
      <c r="G5" s="4">
        <v>21</v>
      </c>
      <c r="H5" s="4">
        <v>24</v>
      </c>
      <c r="I5" s="4">
        <v>28</v>
      </c>
      <c r="J5" s="4">
        <v>32</v>
      </c>
      <c r="K5" s="4">
        <v>35</v>
      </c>
      <c r="L5" s="4">
        <v>38</v>
      </c>
      <c r="M5" s="4">
        <v>42</v>
      </c>
      <c r="N5" s="4">
        <v>46</v>
      </c>
      <c r="O5" s="4">
        <v>49</v>
      </c>
      <c r="P5" s="4">
        <v>52</v>
      </c>
      <c r="Q5" s="4">
        <v>56</v>
      </c>
      <c r="R5" s="4">
        <v>60</v>
      </c>
      <c r="S5" s="4">
        <v>63</v>
      </c>
      <c r="T5" s="4">
        <v>66</v>
      </c>
      <c r="U5" s="4">
        <v>70</v>
      </c>
      <c r="V5" s="4">
        <v>74</v>
      </c>
      <c r="W5" s="4">
        <v>77</v>
      </c>
      <c r="X5" s="4">
        <v>80</v>
      </c>
      <c r="Y5" s="4">
        <v>84</v>
      </c>
      <c r="Z5" s="4">
        <v>88</v>
      </c>
      <c r="AA5" s="4">
        <v>91</v>
      </c>
      <c r="AB5" s="4">
        <v>94</v>
      </c>
      <c r="AC5" s="4">
        <v>98</v>
      </c>
      <c r="AD5" s="4">
        <v>102</v>
      </c>
      <c r="AE5" s="4">
        <v>105</v>
      </c>
      <c r="AF5" s="4">
        <v>108</v>
      </c>
      <c r="AG5" s="4">
        <v>112</v>
      </c>
      <c r="AH5" s="4">
        <v>116</v>
      </c>
      <c r="AI5" s="4">
        <v>119</v>
      </c>
      <c r="AJ5" s="4">
        <v>122</v>
      </c>
      <c r="AK5" s="4">
        <v>126</v>
      </c>
      <c r="AL5" s="4">
        <v>130</v>
      </c>
      <c r="AM5" s="4">
        <v>133</v>
      </c>
      <c r="AN5" s="4">
        <v>136</v>
      </c>
      <c r="AO5" s="4">
        <v>140</v>
      </c>
      <c r="AP5" s="4">
        <v>144</v>
      </c>
      <c r="AQ5" s="4">
        <v>147</v>
      </c>
      <c r="AR5" s="4">
        <v>150</v>
      </c>
      <c r="AS5" s="4">
        <v>154</v>
      </c>
      <c r="AT5" s="4">
        <v>158</v>
      </c>
      <c r="AU5" s="4">
        <v>161</v>
      </c>
      <c r="AV5" s="4">
        <v>164</v>
      </c>
      <c r="AW5" s="4">
        <v>168</v>
      </c>
      <c r="AX5" s="4">
        <v>172</v>
      </c>
      <c r="AY5" s="4">
        <v>175</v>
      </c>
      <c r="AZ5" s="4">
        <f>AY5+3</f>
        <v>178</v>
      </c>
      <c r="BA5" s="4">
        <f t="shared" ref="BA5:BU5" si="8">AZ5+3</f>
        <v>181</v>
      </c>
      <c r="BB5" s="4">
        <f t="shared" si="8"/>
        <v>184</v>
      </c>
      <c r="BC5" s="4">
        <f t="shared" si="8"/>
        <v>187</v>
      </c>
      <c r="BD5" s="4">
        <f t="shared" si="8"/>
        <v>190</v>
      </c>
      <c r="BE5" s="4">
        <f t="shared" si="8"/>
        <v>193</v>
      </c>
      <c r="BF5" s="4">
        <f t="shared" si="8"/>
        <v>196</v>
      </c>
      <c r="BG5" s="4">
        <f t="shared" si="8"/>
        <v>199</v>
      </c>
      <c r="BH5" s="4">
        <f t="shared" si="8"/>
        <v>202</v>
      </c>
      <c r="BI5" s="4">
        <f t="shared" si="8"/>
        <v>205</v>
      </c>
      <c r="BJ5" s="4">
        <f t="shared" si="8"/>
        <v>208</v>
      </c>
      <c r="BK5" s="4">
        <f t="shared" si="8"/>
        <v>211</v>
      </c>
      <c r="BL5" s="4">
        <f t="shared" si="8"/>
        <v>214</v>
      </c>
      <c r="BM5" s="4">
        <f t="shared" si="8"/>
        <v>217</v>
      </c>
      <c r="BN5" s="4">
        <f t="shared" si="8"/>
        <v>220</v>
      </c>
      <c r="BO5" s="4">
        <f t="shared" si="8"/>
        <v>223</v>
      </c>
      <c r="BP5" s="4">
        <f t="shared" si="8"/>
        <v>226</v>
      </c>
      <c r="BQ5" s="4">
        <f t="shared" si="8"/>
        <v>229</v>
      </c>
      <c r="BR5" s="4">
        <f t="shared" si="8"/>
        <v>232</v>
      </c>
      <c r="BS5" s="4">
        <f t="shared" si="8"/>
        <v>235</v>
      </c>
      <c r="BT5" s="4">
        <f t="shared" si="8"/>
        <v>238</v>
      </c>
      <c r="BU5" s="4">
        <f t="shared" si="8"/>
        <v>241</v>
      </c>
      <c r="BV5" s="4">
        <f>BU5+1.5</f>
        <v>242.5</v>
      </c>
      <c r="BW5" s="4">
        <f t="shared" ref="BW5:CV5" si="9">BV5+1.5</f>
        <v>244</v>
      </c>
      <c r="BX5" s="4">
        <f t="shared" si="9"/>
        <v>245.5</v>
      </c>
      <c r="BY5" s="4">
        <f t="shared" si="9"/>
        <v>247</v>
      </c>
      <c r="BZ5" s="4">
        <f t="shared" si="9"/>
        <v>248.5</v>
      </c>
      <c r="CA5" s="4">
        <f t="shared" si="9"/>
        <v>250</v>
      </c>
      <c r="CB5" s="4">
        <f t="shared" si="9"/>
        <v>251.5</v>
      </c>
      <c r="CC5" s="4">
        <f t="shared" si="9"/>
        <v>253</v>
      </c>
      <c r="CD5" s="4">
        <f t="shared" si="9"/>
        <v>254.5</v>
      </c>
      <c r="CE5" s="4">
        <f t="shared" si="9"/>
        <v>256</v>
      </c>
      <c r="CF5" s="4">
        <f t="shared" si="9"/>
        <v>257.5</v>
      </c>
      <c r="CG5" s="4">
        <f t="shared" si="9"/>
        <v>259</v>
      </c>
      <c r="CH5" s="4">
        <f t="shared" si="9"/>
        <v>260.5</v>
      </c>
      <c r="CI5" s="4">
        <f t="shared" si="9"/>
        <v>262</v>
      </c>
      <c r="CJ5" s="4">
        <f t="shared" si="9"/>
        <v>263.5</v>
      </c>
      <c r="CK5" s="4">
        <f t="shared" si="9"/>
        <v>265</v>
      </c>
      <c r="CL5" s="4">
        <f t="shared" si="9"/>
        <v>266.5</v>
      </c>
      <c r="CM5" s="4">
        <f t="shared" si="9"/>
        <v>268</v>
      </c>
      <c r="CN5" s="4">
        <f t="shared" si="9"/>
        <v>269.5</v>
      </c>
      <c r="CO5" s="4">
        <f t="shared" si="9"/>
        <v>271</v>
      </c>
      <c r="CP5" s="4">
        <f t="shared" si="9"/>
        <v>272.5</v>
      </c>
      <c r="CQ5" s="4">
        <f t="shared" si="9"/>
        <v>274</v>
      </c>
      <c r="CR5" s="4">
        <f t="shared" si="9"/>
        <v>275.5</v>
      </c>
      <c r="CS5" s="4">
        <f t="shared" si="9"/>
        <v>277</v>
      </c>
      <c r="CT5" s="4">
        <f t="shared" si="9"/>
        <v>278.5</v>
      </c>
      <c r="CU5" s="4">
        <f t="shared" si="9"/>
        <v>280</v>
      </c>
      <c r="CV5" s="4">
        <f t="shared" si="9"/>
        <v>281.5</v>
      </c>
      <c r="CW5" s="4" t="s">
        <v>148</v>
      </c>
    </row>
    <row r="6" spans="2:102" ht="135" x14ac:dyDescent="0.25">
      <c r="B6" s="3" t="s">
        <v>176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1.25</v>
      </c>
      <c r="BA6" s="4">
        <v>2.5</v>
      </c>
      <c r="BB6" s="4">
        <v>3.75</v>
      </c>
      <c r="BC6" s="4">
        <v>5</v>
      </c>
      <c r="BD6" s="4">
        <v>6.25</v>
      </c>
      <c r="BE6" s="4">
        <v>7.5</v>
      </c>
      <c r="BF6" s="4">
        <v>8.75</v>
      </c>
      <c r="BG6" s="4">
        <v>10</v>
      </c>
      <c r="BH6" s="4">
        <v>11.25</v>
      </c>
      <c r="BI6" s="4">
        <v>12.5</v>
      </c>
      <c r="BJ6" s="4">
        <v>13.75</v>
      </c>
      <c r="BK6" s="4">
        <v>15</v>
      </c>
      <c r="BL6" s="4">
        <v>16.25</v>
      </c>
      <c r="BM6" s="4">
        <v>17.5</v>
      </c>
      <c r="BN6" s="4">
        <v>18.75</v>
      </c>
      <c r="BO6" s="4">
        <v>20</v>
      </c>
      <c r="BP6" s="4">
        <v>21.25</v>
      </c>
      <c r="BQ6" s="4">
        <v>22.5</v>
      </c>
      <c r="BR6" s="4">
        <v>22.5</v>
      </c>
      <c r="BS6" s="4">
        <v>23.75</v>
      </c>
      <c r="BT6" s="4">
        <v>23.75</v>
      </c>
      <c r="BU6" s="4">
        <v>25</v>
      </c>
      <c r="BV6" s="4">
        <f>BU6+0.125</f>
        <v>25.125</v>
      </c>
      <c r="BW6" s="4">
        <f t="shared" ref="BW6:CV6" si="10">BV6+0.125</f>
        <v>25.25</v>
      </c>
      <c r="BX6" s="4">
        <f t="shared" si="10"/>
        <v>25.375</v>
      </c>
      <c r="BY6" s="4">
        <f t="shared" si="10"/>
        <v>25.5</v>
      </c>
      <c r="BZ6" s="4">
        <f t="shared" si="10"/>
        <v>25.625</v>
      </c>
      <c r="CA6" s="4">
        <f t="shared" si="10"/>
        <v>25.75</v>
      </c>
      <c r="CB6" s="4">
        <f t="shared" si="10"/>
        <v>25.875</v>
      </c>
      <c r="CC6" s="4">
        <f t="shared" si="10"/>
        <v>26</v>
      </c>
      <c r="CD6" s="4">
        <f t="shared" si="10"/>
        <v>26.125</v>
      </c>
      <c r="CE6" s="4">
        <f t="shared" si="10"/>
        <v>26.25</v>
      </c>
      <c r="CF6" s="4">
        <f t="shared" si="10"/>
        <v>26.375</v>
      </c>
      <c r="CG6" s="4">
        <f t="shared" si="10"/>
        <v>26.5</v>
      </c>
      <c r="CH6" s="4">
        <f t="shared" si="10"/>
        <v>26.625</v>
      </c>
      <c r="CI6" s="4">
        <f t="shared" si="10"/>
        <v>26.75</v>
      </c>
      <c r="CJ6" s="4">
        <f t="shared" si="10"/>
        <v>26.875</v>
      </c>
      <c r="CK6" s="4">
        <f t="shared" si="10"/>
        <v>27</v>
      </c>
      <c r="CL6" s="4">
        <f t="shared" si="10"/>
        <v>27.125</v>
      </c>
      <c r="CM6" s="4">
        <f t="shared" si="10"/>
        <v>27.25</v>
      </c>
      <c r="CN6" s="4">
        <f t="shared" si="10"/>
        <v>27.375</v>
      </c>
      <c r="CO6" s="4">
        <f t="shared" si="10"/>
        <v>27.5</v>
      </c>
      <c r="CP6" s="4">
        <f t="shared" si="10"/>
        <v>27.625</v>
      </c>
      <c r="CQ6" s="4">
        <f t="shared" si="10"/>
        <v>27.75</v>
      </c>
      <c r="CR6" s="4">
        <f t="shared" si="10"/>
        <v>27.875</v>
      </c>
      <c r="CS6" s="4">
        <f t="shared" si="10"/>
        <v>28</v>
      </c>
      <c r="CT6" s="4">
        <f t="shared" si="10"/>
        <v>28.125</v>
      </c>
      <c r="CU6" s="4">
        <f t="shared" si="10"/>
        <v>28.25</v>
      </c>
      <c r="CV6" s="4">
        <f t="shared" si="10"/>
        <v>28.375</v>
      </c>
      <c r="CW6" s="4" t="s">
        <v>70</v>
      </c>
    </row>
    <row r="7" spans="2:102" ht="120" x14ac:dyDescent="0.25">
      <c r="B7" s="3" t="s">
        <v>177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0.5</v>
      </c>
      <c r="BA7" s="4">
        <v>1</v>
      </c>
      <c r="BB7" s="4">
        <v>1.5</v>
      </c>
      <c r="BC7" s="4">
        <v>2</v>
      </c>
      <c r="BD7" s="4">
        <v>2.5</v>
      </c>
      <c r="BE7" s="4">
        <v>3</v>
      </c>
      <c r="BF7" s="4">
        <v>3.5</v>
      </c>
      <c r="BG7" s="4">
        <v>4</v>
      </c>
      <c r="BH7" s="4">
        <v>4.5</v>
      </c>
      <c r="BI7" s="4">
        <v>5</v>
      </c>
      <c r="BJ7" s="4">
        <v>5.5</v>
      </c>
      <c r="BK7" s="4">
        <v>6</v>
      </c>
      <c r="BL7" s="4">
        <v>6.5</v>
      </c>
      <c r="BM7" s="4">
        <v>7</v>
      </c>
      <c r="BN7" s="4">
        <v>7.5</v>
      </c>
      <c r="BO7" s="4">
        <v>8</v>
      </c>
      <c r="BP7" s="4">
        <v>8.5</v>
      </c>
      <c r="BQ7" s="4">
        <v>9</v>
      </c>
      <c r="BR7" s="4">
        <v>9</v>
      </c>
      <c r="BS7" s="4">
        <v>9.5</v>
      </c>
      <c r="BT7" s="4">
        <v>9.5</v>
      </c>
      <c r="BU7" s="4">
        <v>10</v>
      </c>
      <c r="BV7" s="4">
        <f>BU7+0.25</f>
        <v>10.25</v>
      </c>
      <c r="BW7" s="4">
        <f t="shared" ref="BW7:CL10" si="11">BV7+0.25</f>
        <v>10.5</v>
      </c>
      <c r="BX7" s="4">
        <f t="shared" si="11"/>
        <v>10.75</v>
      </c>
      <c r="BY7" s="4">
        <f t="shared" si="11"/>
        <v>11</v>
      </c>
      <c r="BZ7" s="4">
        <f t="shared" si="11"/>
        <v>11.25</v>
      </c>
      <c r="CA7" s="4">
        <f t="shared" si="11"/>
        <v>11.5</v>
      </c>
      <c r="CB7" s="4">
        <f t="shared" si="11"/>
        <v>11.75</v>
      </c>
      <c r="CC7" s="4">
        <f t="shared" si="11"/>
        <v>12</v>
      </c>
      <c r="CD7" s="4">
        <f t="shared" si="11"/>
        <v>12.25</v>
      </c>
      <c r="CE7" s="4">
        <f t="shared" si="11"/>
        <v>12.5</v>
      </c>
      <c r="CF7" s="4">
        <f t="shared" si="11"/>
        <v>12.75</v>
      </c>
      <c r="CG7" s="4">
        <f t="shared" si="11"/>
        <v>13</v>
      </c>
      <c r="CH7" s="4">
        <f t="shared" si="11"/>
        <v>13.25</v>
      </c>
      <c r="CI7" s="4">
        <f t="shared" si="11"/>
        <v>13.5</v>
      </c>
      <c r="CJ7" s="4">
        <f t="shared" si="11"/>
        <v>13.75</v>
      </c>
      <c r="CK7" s="4">
        <f t="shared" si="11"/>
        <v>14</v>
      </c>
      <c r="CL7" s="4">
        <f t="shared" si="11"/>
        <v>14.25</v>
      </c>
      <c r="CM7" s="4">
        <f t="shared" ref="CM7:CV10" si="12">CL7+0.25</f>
        <v>14.5</v>
      </c>
      <c r="CN7" s="4">
        <f t="shared" si="12"/>
        <v>14.75</v>
      </c>
      <c r="CO7" s="4">
        <f t="shared" si="12"/>
        <v>15</v>
      </c>
      <c r="CP7" s="4">
        <f t="shared" si="12"/>
        <v>15.25</v>
      </c>
      <c r="CQ7" s="4">
        <f t="shared" si="12"/>
        <v>15.5</v>
      </c>
      <c r="CR7" s="4">
        <f t="shared" si="12"/>
        <v>15.75</v>
      </c>
      <c r="CS7" s="4">
        <f t="shared" si="12"/>
        <v>16</v>
      </c>
      <c r="CT7" s="4">
        <f t="shared" si="12"/>
        <v>16.25</v>
      </c>
      <c r="CU7" s="4">
        <f t="shared" si="12"/>
        <v>16.5</v>
      </c>
      <c r="CV7" s="4">
        <f t="shared" si="12"/>
        <v>16.75</v>
      </c>
      <c r="CW7" s="4" t="s">
        <v>57</v>
      </c>
    </row>
    <row r="8" spans="2:102" ht="120" x14ac:dyDescent="0.25">
      <c r="B8" s="3" t="s">
        <v>178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0.25</v>
      </c>
      <c r="BA8" s="4">
        <v>0.5</v>
      </c>
      <c r="BB8" s="4">
        <v>0.75</v>
      </c>
      <c r="BC8" s="4">
        <v>1</v>
      </c>
      <c r="BD8" s="4">
        <v>1.25</v>
      </c>
      <c r="BE8" s="4">
        <v>1.5</v>
      </c>
      <c r="BF8" s="4">
        <v>1.75</v>
      </c>
      <c r="BG8" s="4">
        <v>2</v>
      </c>
      <c r="BH8" s="4">
        <v>2.25</v>
      </c>
      <c r="BI8" s="4">
        <v>2.5</v>
      </c>
      <c r="BJ8" s="4">
        <v>2.75</v>
      </c>
      <c r="BK8" s="4">
        <v>3</v>
      </c>
      <c r="BL8" s="4">
        <v>3.25</v>
      </c>
      <c r="BM8" s="4">
        <v>3.5</v>
      </c>
      <c r="BN8" s="4">
        <v>3.75</v>
      </c>
      <c r="BO8" s="4">
        <v>4</v>
      </c>
      <c r="BP8" s="4">
        <v>4.25</v>
      </c>
      <c r="BQ8" s="4">
        <v>4.5</v>
      </c>
      <c r="BR8" s="4">
        <v>4.5</v>
      </c>
      <c r="BS8" s="4">
        <v>4.75</v>
      </c>
      <c r="BT8" s="4">
        <v>4.75</v>
      </c>
      <c r="BU8" s="4">
        <v>5</v>
      </c>
      <c r="BV8" s="4">
        <f>BU8+0.25</f>
        <v>5.25</v>
      </c>
      <c r="BW8" s="4">
        <f t="shared" si="11"/>
        <v>5.5</v>
      </c>
      <c r="BX8" s="4">
        <f t="shared" si="11"/>
        <v>5.75</v>
      </c>
      <c r="BY8" s="4">
        <f t="shared" si="11"/>
        <v>6</v>
      </c>
      <c r="BZ8" s="4">
        <f t="shared" si="11"/>
        <v>6.25</v>
      </c>
      <c r="CA8" s="4">
        <f t="shared" si="11"/>
        <v>6.5</v>
      </c>
      <c r="CB8" s="4">
        <f t="shared" si="11"/>
        <v>6.75</v>
      </c>
      <c r="CC8" s="4">
        <f t="shared" si="11"/>
        <v>7</v>
      </c>
      <c r="CD8" s="4">
        <f t="shared" si="11"/>
        <v>7.25</v>
      </c>
      <c r="CE8" s="4">
        <f t="shared" si="11"/>
        <v>7.5</v>
      </c>
      <c r="CF8" s="4">
        <f t="shared" si="11"/>
        <v>7.75</v>
      </c>
      <c r="CG8" s="4">
        <f t="shared" si="11"/>
        <v>8</v>
      </c>
      <c r="CH8" s="4">
        <f t="shared" si="11"/>
        <v>8.25</v>
      </c>
      <c r="CI8" s="4">
        <f t="shared" si="11"/>
        <v>8.5</v>
      </c>
      <c r="CJ8" s="4">
        <f t="shared" si="11"/>
        <v>8.75</v>
      </c>
      <c r="CK8" s="4">
        <f t="shared" si="11"/>
        <v>9</v>
      </c>
      <c r="CL8" s="4">
        <f t="shared" si="11"/>
        <v>9.25</v>
      </c>
      <c r="CM8" s="4">
        <f t="shared" si="12"/>
        <v>9.5</v>
      </c>
      <c r="CN8" s="4">
        <f t="shared" si="12"/>
        <v>9.75</v>
      </c>
      <c r="CO8" s="4">
        <f t="shared" si="12"/>
        <v>10</v>
      </c>
      <c r="CP8" s="4">
        <f t="shared" si="12"/>
        <v>10.25</v>
      </c>
      <c r="CQ8" s="4">
        <f t="shared" si="12"/>
        <v>10.5</v>
      </c>
      <c r="CR8" s="4">
        <f t="shared" si="12"/>
        <v>10.75</v>
      </c>
      <c r="CS8" s="4">
        <f t="shared" si="12"/>
        <v>11</v>
      </c>
      <c r="CT8" s="4">
        <f t="shared" si="12"/>
        <v>11.25</v>
      </c>
      <c r="CU8" s="4">
        <f t="shared" si="12"/>
        <v>11.5</v>
      </c>
      <c r="CV8" s="4">
        <f t="shared" si="12"/>
        <v>11.75</v>
      </c>
      <c r="CW8" s="4" t="s">
        <v>69</v>
      </c>
    </row>
    <row r="9" spans="2:102" ht="120" x14ac:dyDescent="0.25">
      <c r="B9" s="3" t="s">
        <v>179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0.5</v>
      </c>
      <c r="BA9" s="4">
        <v>1</v>
      </c>
      <c r="BB9" s="4">
        <v>1.5</v>
      </c>
      <c r="BC9" s="4">
        <v>2</v>
      </c>
      <c r="BD9" s="4">
        <v>2.5</v>
      </c>
      <c r="BE9" s="4">
        <v>3</v>
      </c>
      <c r="BF9" s="4">
        <v>3.5</v>
      </c>
      <c r="BG9" s="4">
        <v>4</v>
      </c>
      <c r="BH9" s="4">
        <v>4.5</v>
      </c>
      <c r="BI9" s="4">
        <v>5</v>
      </c>
      <c r="BJ9" s="4">
        <v>5.5</v>
      </c>
      <c r="BK9" s="4">
        <v>6</v>
      </c>
      <c r="BL9" s="4">
        <v>6.5</v>
      </c>
      <c r="BM9" s="4">
        <v>7</v>
      </c>
      <c r="BN9" s="4">
        <v>7.5</v>
      </c>
      <c r="BO9" s="4">
        <v>8</v>
      </c>
      <c r="BP9" s="4">
        <v>8.5</v>
      </c>
      <c r="BQ9" s="4">
        <v>9</v>
      </c>
      <c r="BR9" s="4">
        <v>9</v>
      </c>
      <c r="BS9" s="4">
        <v>9.5</v>
      </c>
      <c r="BT9" s="4">
        <v>9.5</v>
      </c>
      <c r="BU9" s="4">
        <v>10</v>
      </c>
      <c r="BV9" s="4">
        <f>BU9+0.25</f>
        <v>10.25</v>
      </c>
      <c r="BW9" s="4">
        <f t="shared" si="11"/>
        <v>10.5</v>
      </c>
      <c r="BX9" s="4">
        <f t="shared" si="11"/>
        <v>10.75</v>
      </c>
      <c r="BY9" s="4">
        <f t="shared" si="11"/>
        <v>11</v>
      </c>
      <c r="BZ9" s="4">
        <f t="shared" si="11"/>
        <v>11.25</v>
      </c>
      <c r="CA9" s="4">
        <f t="shared" si="11"/>
        <v>11.5</v>
      </c>
      <c r="CB9" s="4">
        <f t="shared" si="11"/>
        <v>11.75</v>
      </c>
      <c r="CC9" s="4">
        <f t="shared" si="11"/>
        <v>12</v>
      </c>
      <c r="CD9" s="4">
        <f t="shared" si="11"/>
        <v>12.25</v>
      </c>
      <c r="CE9" s="4">
        <f t="shared" si="11"/>
        <v>12.5</v>
      </c>
      <c r="CF9" s="4">
        <f t="shared" si="11"/>
        <v>12.75</v>
      </c>
      <c r="CG9" s="4">
        <f t="shared" si="11"/>
        <v>13</v>
      </c>
      <c r="CH9" s="4">
        <f t="shared" si="11"/>
        <v>13.25</v>
      </c>
      <c r="CI9" s="4">
        <f t="shared" si="11"/>
        <v>13.5</v>
      </c>
      <c r="CJ9" s="4">
        <f t="shared" si="11"/>
        <v>13.75</v>
      </c>
      <c r="CK9" s="4">
        <f t="shared" si="11"/>
        <v>14</v>
      </c>
      <c r="CL9" s="4">
        <f t="shared" si="11"/>
        <v>14.25</v>
      </c>
      <c r="CM9" s="4">
        <f t="shared" si="12"/>
        <v>14.5</v>
      </c>
      <c r="CN9" s="4">
        <f t="shared" si="12"/>
        <v>14.75</v>
      </c>
      <c r="CO9" s="4">
        <f t="shared" si="12"/>
        <v>15</v>
      </c>
      <c r="CP9" s="4">
        <f t="shared" si="12"/>
        <v>15.25</v>
      </c>
      <c r="CQ9" s="4">
        <f t="shared" si="12"/>
        <v>15.5</v>
      </c>
      <c r="CR9" s="4">
        <f t="shared" si="12"/>
        <v>15.75</v>
      </c>
      <c r="CS9" s="4">
        <f t="shared" si="12"/>
        <v>16</v>
      </c>
      <c r="CT9" s="4">
        <f t="shared" si="12"/>
        <v>16.25</v>
      </c>
      <c r="CU9" s="4">
        <f t="shared" si="12"/>
        <v>16.5</v>
      </c>
      <c r="CV9" s="4">
        <f t="shared" si="12"/>
        <v>16.75</v>
      </c>
      <c r="CW9" s="4" t="s">
        <v>57</v>
      </c>
    </row>
    <row r="10" spans="2:102" ht="120" x14ac:dyDescent="0.25">
      <c r="B10" s="3" t="s">
        <v>180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0.5</v>
      </c>
      <c r="BA10" s="4">
        <v>1</v>
      </c>
      <c r="BB10" s="4">
        <v>1.5</v>
      </c>
      <c r="BC10" s="4">
        <v>2</v>
      </c>
      <c r="BD10" s="4">
        <v>2.5</v>
      </c>
      <c r="BE10" s="4">
        <v>3</v>
      </c>
      <c r="BF10" s="4">
        <v>3.5</v>
      </c>
      <c r="BG10" s="4">
        <v>4</v>
      </c>
      <c r="BH10" s="4">
        <v>4.5</v>
      </c>
      <c r="BI10" s="4">
        <v>5</v>
      </c>
      <c r="BJ10" s="4">
        <v>5.5</v>
      </c>
      <c r="BK10" s="4">
        <v>6</v>
      </c>
      <c r="BL10" s="4">
        <v>6.5</v>
      </c>
      <c r="BM10" s="4">
        <v>7</v>
      </c>
      <c r="BN10" s="4">
        <v>7.5</v>
      </c>
      <c r="BO10" s="4">
        <v>8</v>
      </c>
      <c r="BP10" s="4">
        <v>8.5</v>
      </c>
      <c r="BQ10" s="4">
        <v>9</v>
      </c>
      <c r="BR10" s="4">
        <v>9</v>
      </c>
      <c r="BS10" s="4">
        <v>9.5</v>
      </c>
      <c r="BT10" s="4">
        <v>9.5</v>
      </c>
      <c r="BU10" s="4">
        <v>10</v>
      </c>
      <c r="BV10" s="4">
        <f>BU10+0.25</f>
        <v>10.25</v>
      </c>
      <c r="BW10" s="4">
        <f t="shared" si="11"/>
        <v>10.5</v>
      </c>
      <c r="BX10" s="4">
        <f t="shared" si="11"/>
        <v>10.75</v>
      </c>
      <c r="BY10" s="4">
        <f t="shared" si="11"/>
        <v>11</v>
      </c>
      <c r="BZ10" s="4">
        <f t="shared" si="11"/>
        <v>11.25</v>
      </c>
      <c r="CA10" s="4">
        <f t="shared" si="11"/>
        <v>11.5</v>
      </c>
      <c r="CB10" s="4">
        <f t="shared" si="11"/>
        <v>11.75</v>
      </c>
      <c r="CC10" s="4">
        <f t="shared" si="11"/>
        <v>12</v>
      </c>
      <c r="CD10" s="4">
        <f t="shared" si="11"/>
        <v>12.25</v>
      </c>
      <c r="CE10" s="4">
        <f t="shared" si="11"/>
        <v>12.5</v>
      </c>
      <c r="CF10" s="4">
        <f t="shared" si="11"/>
        <v>12.75</v>
      </c>
      <c r="CG10" s="4">
        <f t="shared" si="11"/>
        <v>13</v>
      </c>
      <c r="CH10" s="4">
        <f t="shared" si="11"/>
        <v>13.25</v>
      </c>
      <c r="CI10" s="4">
        <f t="shared" si="11"/>
        <v>13.5</v>
      </c>
      <c r="CJ10" s="4">
        <f t="shared" si="11"/>
        <v>13.75</v>
      </c>
      <c r="CK10" s="4">
        <f t="shared" si="11"/>
        <v>14</v>
      </c>
      <c r="CL10" s="4">
        <f t="shared" si="11"/>
        <v>14.25</v>
      </c>
      <c r="CM10" s="4">
        <f t="shared" si="12"/>
        <v>14.5</v>
      </c>
      <c r="CN10" s="4">
        <f t="shared" si="12"/>
        <v>14.75</v>
      </c>
      <c r="CO10" s="4">
        <f t="shared" si="12"/>
        <v>15</v>
      </c>
      <c r="CP10" s="4">
        <f t="shared" si="12"/>
        <v>15.25</v>
      </c>
      <c r="CQ10" s="4">
        <f t="shared" si="12"/>
        <v>15.5</v>
      </c>
      <c r="CR10" s="4">
        <f t="shared" si="12"/>
        <v>15.75</v>
      </c>
      <c r="CS10" s="4">
        <f t="shared" si="12"/>
        <v>16</v>
      </c>
      <c r="CT10" s="4">
        <f t="shared" si="12"/>
        <v>16.25</v>
      </c>
      <c r="CU10" s="4">
        <f t="shared" si="12"/>
        <v>16.5</v>
      </c>
      <c r="CV10" s="4">
        <f t="shared" si="12"/>
        <v>16.75</v>
      </c>
      <c r="CW10" s="4" t="s">
        <v>57</v>
      </c>
    </row>
    <row r="14" spans="2:102" x14ac:dyDescent="0.25">
      <c r="C14">
        <v>1</v>
      </c>
      <c r="D14" s="1">
        <f>C14+1</f>
        <v>2</v>
      </c>
      <c r="E14" s="1">
        <f t="shared" ref="E14:BP14" si="13">D14+1</f>
        <v>3</v>
      </c>
      <c r="F14" s="1">
        <f t="shared" si="13"/>
        <v>4</v>
      </c>
      <c r="G14" s="1">
        <f t="shared" si="13"/>
        <v>5</v>
      </c>
      <c r="H14" s="1">
        <f t="shared" si="13"/>
        <v>6</v>
      </c>
      <c r="I14" s="1">
        <f t="shared" si="13"/>
        <v>7</v>
      </c>
      <c r="J14" s="1">
        <f t="shared" si="13"/>
        <v>8</v>
      </c>
      <c r="K14" s="1">
        <f t="shared" si="13"/>
        <v>9</v>
      </c>
      <c r="L14" s="1">
        <f t="shared" si="13"/>
        <v>10</v>
      </c>
      <c r="M14" s="1">
        <f t="shared" si="13"/>
        <v>11</v>
      </c>
      <c r="N14" s="1">
        <f t="shared" si="13"/>
        <v>12</v>
      </c>
      <c r="O14" s="1">
        <f t="shared" si="13"/>
        <v>13</v>
      </c>
      <c r="P14" s="1">
        <f t="shared" si="13"/>
        <v>14</v>
      </c>
      <c r="Q14" s="1">
        <f t="shared" si="13"/>
        <v>15</v>
      </c>
      <c r="R14" s="1">
        <f t="shared" si="13"/>
        <v>16</v>
      </c>
      <c r="S14" s="1">
        <f t="shared" si="13"/>
        <v>17</v>
      </c>
      <c r="T14" s="1">
        <f t="shared" si="13"/>
        <v>18</v>
      </c>
      <c r="U14" s="1">
        <f t="shared" si="13"/>
        <v>19</v>
      </c>
      <c r="V14" s="1">
        <f t="shared" si="13"/>
        <v>20</v>
      </c>
      <c r="W14" s="1">
        <f t="shared" si="13"/>
        <v>21</v>
      </c>
      <c r="X14" s="1">
        <f t="shared" si="13"/>
        <v>22</v>
      </c>
      <c r="Y14" s="1">
        <f t="shared" si="13"/>
        <v>23</v>
      </c>
      <c r="Z14" s="1">
        <f t="shared" si="13"/>
        <v>24</v>
      </c>
      <c r="AA14" s="1">
        <f t="shared" si="13"/>
        <v>25</v>
      </c>
      <c r="AB14" s="1">
        <f t="shared" si="13"/>
        <v>26</v>
      </c>
      <c r="AC14" s="1">
        <f t="shared" si="13"/>
        <v>27</v>
      </c>
      <c r="AD14" s="1">
        <f t="shared" si="13"/>
        <v>28</v>
      </c>
      <c r="AE14" s="1">
        <f t="shared" si="13"/>
        <v>29</v>
      </c>
      <c r="AF14" s="1">
        <f t="shared" si="13"/>
        <v>30</v>
      </c>
      <c r="AG14" s="1">
        <f t="shared" si="13"/>
        <v>31</v>
      </c>
      <c r="AH14" s="1">
        <f t="shared" si="13"/>
        <v>32</v>
      </c>
      <c r="AI14" s="1">
        <f t="shared" si="13"/>
        <v>33</v>
      </c>
      <c r="AJ14" s="1">
        <f t="shared" si="13"/>
        <v>34</v>
      </c>
      <c r="AK14" s="1">
        <f t="shared" si="13"/>
        <v>35</v>
      </c>
      <c r="AL14" s="1">
        <f t="shared" si="13"/>
        <v>36</v>
      </c>
      <c r="AM14" s="1">
        <f t="shared" si="13"/>
        <v>37</v>
      </c>
      <c r="AN14" s="1">
        <f t="shared" si="13"/>
        <v>38</v>
      </c>
      <c r="AO14" s="1">
        <f t="shared" si="13"/>
        <v>39</v>
      </c>
      <c r="AP14" s="1">
        <f t="shared" si="13"/>
        <v>40</v>
      </c>
      <c r="AQ14" s="1">
        <f t="shared" si="13"/>
        <v>41</v>
      </c>
      <c r="AR14" s="1">
        <f t="shared" si="13"/>
        <v>42</v>
      </c>
      <c r="AS14" s="1">
        <f t="shared" si="13"/>
        <v>43</v>
      </c>
      <c r="AT14" s="1">
        <f t="shared" si="13"/>
        <v>44</v>
      </c>
      <c r="AU14" s="1">
        <f t="shared" si="13"/>
        <v>45</v>
      </c>
      <c r="AV14" s="1">
        <f t="shared" si="13"/>
        <v>46</v>
      </c>
      <c r="AW14" s="1">
        <f t="shared" si="13"/>
        <v>47</v>
      </c>
      <c r="AX14" s="1">
        <f t="shared" si="13"/>
        <v>48</v>
      </c>
      <c r="AY14" s="1">
        <f t="shared" si="13"/>
        <v>49</v>
      </c>
      <c r="AZ14" s="1">
        <f t="shared" si="13"/>
        <v>50</v>
      </c>
      <c r="BA14" s="1">
        <f t="shared" si="13"/>
        <v>51</v>
      </c>
      <c r="BB14" s="1">
        <f t="shared" si="13"/>
        <v>52</v>
      </c>
      <c r="BC14" s="1">
        <f t="shared" si="13"/>
        <v>53</v>
      </c>
      <c r="BD14" s="1">
        <f t="shared" si="13"/>
        <v>54</v>
      </c>
      <c r="BE14" s="1">
        <f t="shared" si="13"/>
        <v>55</v>
      </c>
      <c r="BF14" s="1">
        <f t="shared" si="13"/>
        <v>56</v>
      </c>
      <c r="BG14" s="1">
        <f t="shared" si="13"/>
        <v>57</v>
      </c>
      <c r="BH14" s="1">
        <f t="shared" si="13"/>
        <v>58</v>
      </c>
      <c r="BI14" s="1">
        <f t="shared" si="13"/>
        <v>59</v>
      </c>
      <c r="BJ14" s="1">
        <f t="shared" si="13"/>
        <v>60</v>
      </c>
      <c r="BK14" s="1">
        <f t="shared" si="13"/>
        <v>61</v>
      </c>
      <c r="BL14" s="1">
        <f t="shared" si="13"/>
        <v>62</v>
      </c>
      <c r="BM14" s="1">
        <f t="shared" si="13"/>
        <v>63</v>
      </c>
      <c r="BN14" s="1">
        <f t="shared" si="13"/>
        <v>64</v>
      </c>
      <c r="BO14" s="1">
        <f t="shared" si="13"/>
        <v>65</v>
      </c>
      <c r="BP14" s="1">
        <f t="shared" si="13"/>
        <v>66</v>
      </c>
      <c r="BQ14" s="1">
        <f t="shared" ref="BQ14:CW14" si="14">BP14+1</f>
        <v>67</v>
      </c>
      <c r="BR14" s="1">
        <f t="shared" si="14"/>
        <v>68</v>
      </c>
      <c r="BS14" s="1">
        <f t="shared" si="14"/>
        <v>69</v>
      </c>
      <c r="BT14" s="1">
        <f t="shared" si="14"/>
        <v>70</v>
      </c>
      <c r="BU14" s="1">
        <f t="shared" si="14"/>
        <v>71</v>
      </c>
      <c r="BV14" s="1">
        <f t="shared" si="14"/>
        <v>72</v>
      </c>
      <c r="BW14" s="1">
        <f t="shared" si="14"/>
        <v>73</v>
      </c>
      <c r="BX14" s="1">
        <f t="shared" si="14"/>
        <v>74</v>
      </c>
      <c r="BY14" s="1">
        <f t="shared" si="14"/>
        <v>75</v>
      </c>
      <c r="BZ14" s="1">
        <f t="shared" si="14"/>
        <v>76</v>
      </c>
      <c r="CA14" s="1">
        <f t="shared" si="14"/>
        <v>77</v>
      </c>
      <c r="CB14" s="1">
        <f t="shared" si="14"/>
        <v>78</v>
      </c>
      <c r="CC14" s="1">
        <f t="shared" si="14"/>
        <v>79</v>
      </c>
      <c r="CD14" s="1">
        <f t="shared" si="14"/>
        <v>80</v>
      </c>
      <c r="CE14" s="1">
        <f t="shared" si="14"/>
        <v>81</v>
      </c>
      <c r="CF14" s="1">
        <f t="shared" si="14"/>
        <v>82</v>
      </c>
      <c r="CG14" s="1">
        <f t="shared" si="14"/>
        <v>83</v>
      </c>
      <c r="CH14" s="1">
        <f t="shared" si="14"/>
        <v>84</v>
      </c>
      <c r="CI14" s="1">
        <f t="shared" si="14"/>
        <v>85</v>
      </c>
      <c r="CJ14" s="1">
        <f t="shared" si="14"/>
        <v>86</v>
      </c>
      <c r="CK14" s="1">
        <f t="shared" si="14"/>
        <v>87</v>
      </c>
      <c r="CL14" s="1">
        <f t="shared" si="14"/>
        <v>88</v>
      </c>
      <c r="CM14" s="1">
        <f t="shared" si="14"/>
        <v>89</v>
      </c>
      <c r="CN14" s="1">
        <f t="shared" si="14"/>
        <v>90</v>
      </c>
      <c r="CO14" s="1">
        <f t="shared" si="14"/>
        <v>91</v>
      </c>
      <c r="CP14" s="1">
        <f t="shared" si="14"/>
        <v>92</v>
      </c>
      <c r="CQ14" s="1">
        <f t="shared" si="14"/>
        <v>93</v>
      </c>
      <c r="CR14" s="1">
        <f t="shared" si="14"/>
        <v>94</v>
      </c>
      <c r="CS14" s="1">
        <f t="shared" si="14"/>
        <v>95</v>
      </c>
      <c r="CT14" s="1">
        <f t="shared" si="14"/>
        <v>96</v>
      </c>
      <c r="CU14" s="1">
        <f t="shared" si="14"/>
        <v>97</v>
      </c>
      <c r="CV14" s="1">
        <f t="shared" si="14"/>
        <v>98</v>
      </c>
      <c r="CW14" s="1">
        <f t="shared" si="14"/>
        <v>99</v>
      </c>
      <c r="CX14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W14"/>
  <sheetViews>
    <sheetView topLeftCell="AY1" workbookViewId="0">
      <selection sqref="A1:CV9"/>
    </sheetView>
  </sheetViews>
  <sheetFormatPr defaultRowHeight="15" x14ac:dyDescent="0.25"/>
  <cols>
    <col min="1" max="1" width="36.42578125" bestFit="1" customWidth="1"/>
    <col min="2" max="4" width="3" bestFit="1" customWidth="1"/>
    <col min="5" max="41" width="4" bestFit="1" customWidth="1"/>
    <col min="42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5" bestFit="1" customWidth="1"/>
  </cols>
  <sheetData>
    <row r="1" spans="1:101" x14ac:dyDescent="0.25">
      <c r="A1" t="s">
        <v>71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f>AX1+4</f>
        <v>204</v>
      </c>
      <c r="AZ1">
        <f t="shared" ref="AZ1:BT1" si="0">AY1+4</f>
        <v>208</v>
      </c>
      <c r="BA1">
        <f t="shared" si="0"/>
        <v>212</v>
      </c>
      <c r="BB1">
        <f t="shared" si="0"/>
        <v>216</v>
      </c>
      <c r="BC1">
        <f t="shared" si="0"/>
        <v>220</v>
      </c>
      <c r="BD1">
        <f t="shared" si="0"/>
        <v>224</v>
      </c>
      <c r="BE1">
        <f t="shared" si="0"/>
        <v>228</v>
      </c>
      <c r="BF1">
        <f t="shared" si="0"/>
        <v>232</v>
      </c>
      <c r="BG1">
        <f t="shared" si="0"/>
        <v>236</v>
      </c>
      <c r="BH1">
        <f t="shared" si="0"/>
        <v>240</v>
      </c>
      <c r="BI1">
        <f t="shared" si="0"/>
        <v>244</v>
      </c>
      <c r="BJ1">
        <f t="shared" si="0"/>
        <v>248</v>
      </c>
      <c r="BK1">
        <f t="shared" si="0"/>
        <v>252</v>
      </c>
      <c r="BL1">
        <f t="shared" si="0"/>
        <v>256</v>
      </c>
      <c r="BM1">
        <f t="shared" si="0"/>
        <v>260</v>
      </c>
      <c r="BN1">
        <f t="shared" si="0"/>
        <v>264</v>
      </c>
      <c r="BO1">
        <f t="shared" si="0"/>
        <v>268</v>
      </c>
      <c r="BP1">
        <f t="shared" si="0"/>
        <v>272</v>
      </c>
      <c r="BQ1">
        <f t="shared" si="0"/>
        <v>276</v>
      </c>
      <c r="BR1">
        <f t="shared" si="0"/>
        <v>280</v>
      </c>
      <c r="BS1">
        <f t="shared" si="0"/>
        <v>284</v>
      </c>
      <c r="BT1">
        <f t="shared" si="0"/>
        <v>288</v>
      </c>
      <c r="BU1">
        <f>BT1+2</f>
        <v>290</v>
      </c>
      <c r="BV1">
        <f t="shared" ref="BV1:CU1" si="1">BU1+2</f>
        <v>292</v>
      </c>
      <c r="BW1">
        <f t="shared" si="1"/>
        <v>294</v>
      </c>
      <c r="BX1">
        <f t="shared" si="1"/>
        <v>296</v>
      </c>
      <c r="BY1">
        <f t="shared" si="1"/>
        <v>298</v>
      </c>
      <c r="BZ1">
        <f t="shared" si="1"/>
        <v>300</v>
      </c>
      <c r="CA1">
        <f t="shared" si="1"/>
        <v>302</v>
      </c>
      <c r="CB1">
        <f t="shared" si="1"/>
        <v>304</v>
      </c>
      <c r="CC1">
        <f t="shared" si="1"/>
        <v>306</v>
      </c>
      <c r="CD1">
        <f t="shared" si="1"/>
        <v>308</v>
      </c>
      <c r="CE1">
        <f t="shared" si="1"/>
        <v>310</v>
      </c>
      <c r="CF1">
        <f t="shared" si="1"/>
        <v>312</v>
      </c>
      <c r="CG1">
        <f t="shared" si="1"/>
        <v>314</v>
      </c>
      <c r="CH1">
        <f t="shared" si="1"/>
        <v>316</v>
      </c>
      <c r="CI1">
        <f t="shared" si="1"/>
        <v>318</v>
      </c>
      <c r="CJ1">
        <f t="shared" si="1"/>
        <v>320</v>
      </c>
      <c r="CK1">
        <f t="shared" si="1"/>
        <v>322</v>
      </c>
      <c r="CL1">
        <f t="shared" si="1"/>
        <v>324</v>
      </c>
      <c r="CM1">
        <f t="shared" si="1"/>
        <v>326</v>
      </c>
      <c r="CN1">
        <f t="shared" si="1"/>
        <v>328</v>
      </c>
      <c r="CO1">
        <f t="shared" si="1"/>
        <v>330</v>
      </c>
      <c r="CP1">
        <f t="shared" si="1"/>
        <v>332</v>
      </c>
      <c r="CQ1">
        <f t="shared" si="1"/>
        <v>334</v>
      </c>
      <c r="CR1">
        <f t="shared" si="1"/>
        <v>336</v>
      </c>
      <c r="CS1">
        <f t="shared" si="1"/>
        <v>338</v>
      </c>
      <c r="CT1">
        <f t="shared" si="1"/>
        <v>340</v>
      </c>
      <c r="CU1">
        <f t="shared" si="1"/>
        <v>342</v>
      </c>
      <c r="CV1" t="s">
        <v>153</v>
      </c>
    </row>
    <row r="2" spans="1:101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2">BU2+0.25</f>
        <v>10.5</v>
      </c>
      <c r="BW2">
        <f t="shared" si="2"/>
        <v>10.75</v>
      </c>
      <c r="BX2">
        <f t="shared" si="2"/>
        <v>11</v>
      </c>
      <c r="BY2">
        <f t="shared" si="2"/>
        <v>11.25</v>
      </c>
      <c r="BZ2">
        <f t="shared" si="2"/>
        <v>11.5</v>
      </c>
      <c r="CA2">
        <f t="shared" si="2"/>
        <v>11.75</v>
      </c>
      <c r="CB2">
        <f t="shared" si="2"/>
        <v>12</v>
      </c>
      <c r="CC2">
        <f t="shared" si="2"/>
        <v>12.25</v>
      </c>
      <c r="CD2">
        <f t="shared" si="2"/>
        <v>12.5</v>
      </c>
      <c r="CE2">
        <f t="shared" si="2"/>
        <v>12.75</v>
      </c>
      <c r="CF2">
        <f t="shared" si="2"/>
        <v>13</v>
      </c>
      <c r="CG2">
        <f t="shared" si="2"/>
        <v>13.25</v>
      </c>
      <c r="CH2">
        <f t="shared" si="2"/>
        <v>13.5</v>
      </c>
      <c r="CI2">
        <f t="shared" si="2"/>
        <v>13.75</v>
      </c>
      <c r="CJ2">
        <f t="shared" si="2"/>
        <v>14</v>
      </c>
      <c r="CK2">
        <f t="shared" si="2"/>
        <v>14.25</v>
      </c>
      <c r="CL2">
        <f t="shared" si="2"/>
        <v>14.5</v>
      </c>
      <c r="CM2">
        <f t="shared" si="2"/>
        <v>14.75</v>
      </c>
      <c r="CN2">
        <f t="shared" si="2"/>
        <v>15</v>
      </c>
      <c r="CO2">
        <f t="shared" si="2"/>
        <v>15.25</v>
      </c>
      <c r="CP2">
        <f t="shared" si="2"/>
        <v>15.5</v>
      </c>
      <c r="CQ2">
        <f t="shared" si="2"/>
        <v>15.75</v>
      </c>
      <c r="CR2">
        <f t="shared" si="2"/>
        <v>16</v>
      </c>
      <c r="CS2">
        <f t="shared" si="2"/>
        <v>16.25</v>
      </c>
      <c r="CT2">
        <f t="shared" si="2"/>
        <v>16.5</v>
      </c>
      <c r="CU2">
        <f t="shared" si="2"/>
        <v>16.75</v>
      </c>
      <c r="CV2" t="s">
        <v>57</v>
      </c>
    </row>
    <row r="3" spans="1:101" x14ac:dyDescent="0.25">
      <c r="A3" t="s">
        <v>62</v>
      </c>
      <c r="B3">
        <v>3</v>
      </c>
      <c r="C3">
        <v>4</v>
      </c>
      <c r="D3">
        <v>6</v>
      </c>
      <c r="E3">
        <v>8</v>
      </c>
      <c r="F3">
        <v>9</v>
      </c>
      <c r="G3">
        <v>10</v>
      </c>
      <c r="H3">
        <v>12</v>
      </c>
      <c r="I3">
        <v>14</v>
      </c>
      <c r="J3">
        <v>15</v>
      </c>
      <c r="K3">
        <v>16</v>
      </c>
      <c r="L3">
        <v>18</v>
      </c>
      <c r="M3">
        <v>20</v>
      </c>
      <c r="N3">
        <v>21</v>
      </c>
      <c r="O3">
        <v>22</v>
      </c>
      <c r="P3">
        <v>24</v>
      </c>
      <c r="Q3">
        <v>26</v>
      </c>
      <c r="R3">
        <v>27</v>
      </c>
      <c r="S3">
        <v>28</v>
      </c>
      <c r="T3">
        <v>30</v>
      </c>
      <c r="U3">
        <v>32</v>
      </c>
      <c r="V3">
        <v>33</v>
      </c>
      <c r="W3">
        <v>34</v>
      </c>
      <c r="X3">
        <v>36</v>
      </c>
      <c r="Y3">
        <v>38</v>
      </c>
      <c r="Z3">
        <v>39</v>
      </c>
      <c r="AA3">
        <v>40</v>
      </c>
      <c r="AB3">
        <v>42</v>
      </c>
      <c r="AC3">
        <v>44</v>
      </c>
      <c r="AD3">
        <v>45</v>
      </c>
      <c r="AE3">
        <v>46</v>
      </c>
      <c r="AF3">
        <v>48</v>
      </c>
      <c r="AG3">
        <v>50</v>
      </c>
      <c r="AH3">
        <v>51</v>
      </c>
      <c r="AI3">
        <v>52</v>
      </c>
      <c r="AJ3">
        <v>54</v>
      </c>
      <c r="AK3">
        <v>56</v>
      </c>
      <c r="AL3">
        <v>57</v>
      </c>
      <c r="AM3">
        <v>58</v>
      </c>
      <c r="AN3">
        <v>60</v>
      </c>
      <c r="AO3">
        <v>62</v>
      </c>
      <c r="AP3">
        <v>63</v>
      </c>
      <c r="AQ3">
        <v>64</v>
      </c>
      <c r="AR3">
        <v>66</v>
      </c>
      <c r="AS3">
        <v>68</v>
      </c>
      <c r="AT3">
        <v>69</v>
      </c>
      <c r="AU3">
        <v>70</v>
      </c>
      <c r="AV3">
        <v>72</v>
      </c>
      <c r="AW3">
        <v>74</v>
      </c>
      <c r="AX3">
        <v>75</v>
      </c>
      <c r="AY3">
        <f>AX3+1</f>
        <v>76</v>
      </c>
      <c r="AZ3">
        <f t="shared" ref="AZ3:BT3" si="3">AY3+1</f>
        <v>77</v>
      </c>
      <c r="BA3">
        <f t="shared" si="3"/>
        <v>78</v>
      </c>
      <c r="BB3">
        <f t="shared" si="3"/>
        <v>79</v>
      </c>
      <c r="BC3">
        <f t="shared" si="3"/>
        <v>80</v>
      </c>
      <c r="BD3">
        <f t="shared" si="3"/>
        <v>81</v>
      </c>
      <c r="BE3">
        <f t="shared" si="3"/>
        <v>82</v>
      </c>
      <c r="BF3">
        <f t="shared" si="3"/>
        <v>83</v>
      </c>
      <c r="BG3">
        <f t="shared" si="3"/>
        <v>84</v>
      </c>
      <c r="BH3">
        <f t="shared" si="3"/>
        <v>85</v>
      </c>
      <c r="BI3">
        <f t="shared" si="3"/>
        <v>86</v>
      </c>
      <c r="BJ3">
        <f t="shared" si="3"/>
        <v>87</v>
      </c>
      <c r="BK3">
        <f t="shared" si="3"/>
        <v>88</v>
      </c>
      <c r="BL3">
        <f t="shared" si="3"/>
        <v>89</v>
      </c>
      <c r="BM3">
        <f t="shared" si="3"/>
        <v>90</v>
      </c>
      <c r="BN3">
        <f t="shared" si="3"/>
        <v>91</v>
      </c>
      <c r="BO3">
        <f t="shared" si="3"/>
        <v>92</v>
      </c>
      <c r="BP3">
        <f t="shared" si="3"/>
        <v>93</v>
      </c>
      <c r="BQ3">
        <f t="shared" si="3"/>
        <v>94</v>
      </c>
      <c r="BR3">
        <f t="shared" si="3"/>
        <v>95</v>
      </c>
      <c r="BS3">
        <f t="shared" si="3"/>
        <v>96</v>
      </c>
      <c r="BT3">
        <f t="shared" si="3"/>
        <v>97</v>
      </c>
      <c r="BU3">
        <f>BT3+0.5</f>
        <v>97.5</v>
      </c>
      <c r="BV3">
        <f t="shared" ref="BV3:CU3" si="4">BU3+0.5</f>
        <v>98</v>
      </c>
      <c r="BW3">
        <f t="shared" si="4"/>
        <v>98.5</v>
      </c>
      <c r="BX3">
        <f t="shared" si="4"/>
        <v>99</v>
      </c>
      <c r="BY3">
        <f t="shared" si="4"/>
        <v>99.5</v>
      </c>
      <c r="BZ3">
        <f t="shared" si="4"/>
        <v>100</v>
      </c>
      <c r="CA3">
        <f t="shared" si="4"/>
        <v>100.5</v>
      </c>
      <c r="CB3">
        <f t="shared" si="4"/>
        <v>101</v>
      </c>
      <c r="CC3">
        <f t="shared" si="4"/>
        <v>101.5</v>
      </c>
      <c r="CD3">
        <f t="shared" si="4"/>
        <v>102</v>
      </c>
      <c r="CE3">
        <f t="shared" si="4"/>
        <v>102.5</v>
      </c>
      <c r="CF3">
        <f t="shared" si="4"/>
        <v>103</v>
      </c>
      <c r="CG3">
        <f t="shared" si="4"/>
        <v>103.5</v>
      </c>
      <c r="CH3">
        <f t="shared" si="4"/>
        <v>104</v>
      </c>
      <c r="CI3">
        <f t="shared" si="4"/>
        <v>104.5</v>
      </c>
      <c r="CJ3">
        <f t="shared" si="4"/>
        <v>105</v>
      </c>
      <c r="CK3">
        <f t="shared" si="4"/>
        <v>105.5</v>
      </c>
      <c r="CL3">
        <f t="shared" si="4"/>
        <v>106</v>
      </c>
      <c r="CM3">
        <f t="shared" si="4"/>
        <v>106.5</v>
      </c>
      <c r="CN3">
        <f t="shared" si="4"/>
        <v>107</v>
      </c>
      <c r="CO3">
        <f t="shared" si="4"/>
        <v>107.5</v>
      </c>
      <c r="CP3">
        <f t="shared" si="4"/>
        <v>108</v>
      </c>
      <c r="CQ3">
        <f t="shared" si="4"/>
        <v>108.5</v>
      </c>
      <c r="CR3">
        <f t="shared" si="4"/>
        <v>109</v>
      </c>
      <c r="CS3">
        <f t="shared" si="4"/>
        <v>109.5</v>
      </c>
      <c r="CT3">
        <f t="shared" si="4"/>
        <v>110</v>
      </c>
      <c r="CU3">
        <f t="shared" si="4"/>
        <v>110.5</v>
      </c>
      <c r="CV3" t="s">
        <v>149</v>
      </c>
    </row>
    <row r="4" spans="1:101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>BT4+0.25</f>
        <v>10.25</v>
      </c>
      <c r="BV4">
        <f t="shared" ref="BV4:CU4" si="5">BU4+0.25</f>
        <v>10.5</v>
      </c>
      <c r="BW4">
        <f t="shared" si="5"/>
        <v>10.75</v>
      </c>
      <c r="BX4">
        <f t="shared" si="5"/>
        <v>11</v>
      </c>
      <c r="BY4">
        <f t="shared" si="5"/>
        <v>11.25</v>
      </c>
      <c r="BZ4">
        <f t="shared" si="5"/>
        <v>11.5</v>
      </c>
      <c r="CA4">
        <f t="shared" si="5"/>
        <v>11.75</v>
      </c>
      <c r="CB4">
        <f t="shared" si="5"/>
        <v>12</v>
      </c>
      <c r="CC4">
        <f t="shared" si="5"/>
        <v>12.25</v>
      </c>
      <c r="CD4">
        <f t="shared" si="5"/>
        <v>12.5</v>
      </c>
      <c r="CE4">
        <f t="shared" si="5"/>
        <v>12.75</v>
      </c>
      <c r="CF4">
        <f t="shared" si="5"/>
        <v>13</v>
      </c>
      <c r="CG4">
        <f t="shared" si="5"/>
        <v>13.25</v>
      </c>
      <c r="CH4">
        <f t="shared" si="5"/>
        <v>13.5</v>
      </c>
      <c r="CI4">
        <f t="shared" si="5"/>
        <v>13.75</v>
      </c>
      <c r="CJ4">
        <f t="shared" si="5"/>
        <v>14</v>
      </c>
      <c r="CK4">
        <f t="shared" si="5"/>
        <v>14.25</v>
      </c>
      <c r="CL4">
        <f t="shared" si="5"/>
        <v>14.5</v>
      </c>
      <c r="CM4">
        <f t="shared" si="5"/>
        <v>14.75</v>
      </c>
      <c r="CN4">
        <f t="shared" si="5"/>
        <v>15</v>
      </c>
      <c r="CO4">
        <f t="shared" si="5"/>
        <v>15.25</v>
      </c>
      <c r="CP4">
        <f t="shared" si="5"/>
        <v>15.5</v>
      </c>
      <c r="CQ4">
        <f t="shared" si="5"/>
        <v>15.75</v>
      </c>
      <c r="CR4">
        <f t="shared" si="5"/>
        <v>16</v>
      </c>
      <c r="CS4">
        <f t="shared" si="5"/>
        <v>16.25</v>
      </c>
      <c r="CT4">
        <f t="shared" si="5"/>
        <v>16.5</v>
      </c>
      <c r="CU4">
        <f t="shared" si="5"/>
        <v>16.75</v>
      </c>
      <c r="CV4" t="s">
        <v>57</v>
      </c>
    </row>
    <row r="5" spans="1:101" x14ac:dyDescent="0.25">
      <c r="A5" t="s">
        <v>73</v>
      </c>
      <c r="B5">
        <v>48</v>
      </c>
      <c r="C5">
        <v>72</v>
      </c>
      <c r="D5">
        <v>96</v>
      </c>
      <c r="E5">
        <v>120</v>
      </c>
      <c r="F5">
        <v>144</v>
      </c>
      <c r="G5">
        <v>168</v>
      </c>
      <c r="H5">
        <v>192</v>
      </c>
      <c r="I5">
        <v>216</v>
      </c>
      <c r="J5">
        <v>240</v>
      </c>
      <c r="K5">
        <v>264</v>
      </c>
      <c r="L5">
        <v>288</v>
      </c>
      <c r="M5">
        <v>312</v>
      </c>
      <c r="N5">
        <v>336</v>
      </c>
      <c r="O5">
        <v>360</v>
      </c>
      <c r="P5">
        <v>384</v>
      </c>
      <c r="Q5">
        <v>408</v>
      </c>
      <c r="R5">
        <v>432</v>
      </c>
      <c r="S5">
        <v>456</v>
      </c>
      <c r="T5">
        <v>480</v>
      </c>
      <c r="U5">
        <v>504</v>
      </c>
      <c r="V5">
        <v>528</v>
      </c>
      <c r="W5">
        <v>552</v>
      </c>
      <c r="X5">
        <v>576</v>
      </c>
      <c r="Y5">
        <v>600</v>
      </c>
      <c r="Z5">
        <v>624</v>
      </c>
      <c r="AA5">
        <v>648</v>
      </c>
      <c r="AB5">
        <v>672</v>
      </c>
      <c r="AC5">
        <v>696</v>
      </c>
      <c r="AD5">
        <v>720</v>
      </c>
      <c r="AE5">
        <v>744</v>
      </c>
      <c r="AF5">
        <v>768</v>
      </c>
      <c r="AG5">
        <v>792</v>
      </c>
      <c r="AH5">
        <v>816</v>
      </c>
      <c r="AI5">
        <v>840</v>
      </c>
      <c r="AJ5">
        <v>864</v>
      </c>
      <c r="AK5">
        <v>888</v>
      </c>
      <c r="AL5">
        <v>912</v>
      </c>
      <c r="AM5">
        <v>936</v>
      </c>
      <c r="AN5">
        <v>960</v>
      </c>
      <c r="AO5">
        <v>984</v>
      </c>
      <c r="AP5">
        <v>1008</v>
      </c>
      <c r="AQ5">
        <v>1032</v>
      </c>
      <c r="AR5">
        <v>1056</v>
      </c>
      <c r="AS5">
        <v>1080</v>
      </c>
      <c r="AT5">
        <v>1104</v>
      </c>
      <c r="AU5">
        <v>1128</v>
      </c>
      <c r="AV5">
        <v>1152</v>
      </c>
      <c r="AW5">
        <v>1176</v>
      </c>
      <c r="AX5">
        <v>1200</v>
      </c>
      <c r="AY5">
        <f>AX5+24</f>
        <v>1224</v>
      </c>
      <c r="AZ5">
        <f t="shared" ref="AZ5:BT5" si="6">AY5+24</f>
        <v>1248</v>
      </c>
      <c r="BA5">
        <f t="shared" si="6"/>
        <v>1272</v>
      </c>
      <c r="BB5">
        <f t="shared" si="6"/>
        <v>1296</v>
      </c>
      <c r="BC5">
        <f t="shared" si="6"/>
        <v>1320</v>
      </c>
      <c r="BD5">
        <f t="shared" si="6"/>
        <v>1344</v>
      </c>
      <c r="BE5">
        <f t="shared" si="6"/>
        <v>1368</v>
      </c>
      <c r="BF5">
        <f t="shared" si="6"/>
        <v>1392</v>
      </c>
      <c r="BG5">
        <f t="shared" si="6"/>
        <v>1416</v>
      </c>
      <c r="BH5">
        <f t="shared" si="6"/>
        <v>1440</v>
      </c>
      <c r="BI5">
        <f t="shared" si="6"/>
        <v>1464</v>
      </c>
      <c r="BJ5">
        <f t="shared" si="6"/>
        <v>1488</v>
      </c>
      <c r="BK5">
        <f t="shared" si="6"/>
        <v>1512</v>
      </c>
      <c r="BL5">
        <f t="shared" si="6"/>
        <v>1536</v>
      </c>
      <c r="BM5">
        <f t="shared" si="6"/>
        <v>1560</v>
      </c>
      <c r="BN5">
        <f t="shared" si="6"/>
        <v>1584</v>
      </c>
      <c r="BO5">
        <f t="shared" si="6"/>
        <v>1608</v>
      </c>
      <c r="BP5">
        <f t="shared" si="6"/>
        <v>1632</v>
      </c>
      <c r="BQ5">
        <f t="shared" si="6"/>
        <v>1656</v>
      </c>
      <c r="BR5">
        <f t="shared" si="6"/>
        <v>1680</v>
      </c>
      <c r="BS5">
        <f t="shared" si="6"/>
        <v>1704</v>
      </c>
      <c r="BT5">
        <f t="shared" si="6"/>
        <v>1728</v>
      </c>
      <c r="BU5">
        <f>BT5+12</f>
        <v>1740</v>
      </c>
      <c r="BV5">
        <f t="shared" ref="BV5:CU5" si="7">BU5+12</f>
        <v>1752</v>
      </c>
      <c r="BW5">
        <f t="shared" si="7"/>
        <v>1764</v>
      </c>
      <c r="BX5">
        <f t="shared" si="7"/>
        <v>1776</v>
      </c>
      <c r="BY5">
        <f t="shared" si="7"/>
        <v>1788</v>
      </c>
      <c r="BZ5">
        <f t="shared" si="7"/>
        <v>1800</v>
      </c>
      <c r="CA5">
        <f t="shared" si="7"/>
        <v>1812</v>
      </c>
      <c r="CB5">
        <f t="shared" si="7"/>
        <v>1824</v>
      </c>
      <c r="CC5">
        <f t="shared" si="7"/>
        <v>1836</v>
      </c>
      <c r="CD5">
        <f t="shared" si="7"/>
        <v>1848</v>
      </c>
      <c r="CE5">
        <f t="shared" si="7"/>
        <v>1860</v>
      </c>
      <c r="CF5">
        <f t="shared" si="7"/>
        <v>1872</v>
      </c>
      <c r="CG5">
        <f t="shared" si="7"/>
        <v>1884</v>
      </c>
      <c r="CH5">
        <f t="shared" si="7"/>
        <v>1896</v>
      </c>
      <c r="CI5">
        <f t="shared" si="7"/>
        <v>1908</v>
      </c>
      <c r="CJ5">
        <f t="shared" si="7"/>
        <v>1920</v>
      </c>
      <c r="CK5">
        <f t="shared" si="7"/>
        <v>1932</v>
      </c>
      <c r="CL5">
        <f t="shared" si="7"/>
        <v>1944</v>
      </c>
      <c r="CM5">
        <f t="shared" si="7"/>
        <v>1956</v>
      </c>
      <c r="CN5">
        <f t="shared" si="7"/>
        <v>1968</v>
      </c>
      <c r="CO5">
        <f t="shared" si="7"/>
        <v>1980</v>
      </c>
      <c r="CP5">
        <f t="shared" si="7"/>
        <v>1992</v>
      </c>
      <c r="CQ5">
        <f t="shared" si="7"/>
        <v>2004</v>
      </c>
      <c r="CR5">
        <f t="shared" si="7"/>
        <v>2016</v>
      </c>
      <c r="CS5">
        <f t="shared" si="7"/>
        <v>2028</v>
      </c>
      <c r="CT5">
        <f t="shared" si="7"/>
        <v>2040</v>
      </c>
      <c r="CU5">
        <f t="shared" si="7"/>
        <v>2052</v>
      </c>
      <c r="CV5" t="s">
        <v>154</v>
      </c>
    </row>
    <row r="6" spans="1:101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0.5</v>
      </c>
      <c r="AZ6">
        <v>1</v>
      </c>
      <c r="BA6">
        <v>1.5</v>
      </c>
      <c r="BB6">
        <v>2</v>
      </c>
      <c r="BC6">
        <v>2.5</v>
      </c>
      <c r="BD6">
        <v>3</v>
      </c>
      <c r="BE6">
        <v>3.5</v>
      </c>
      <c r="BF6">
        <v>4</v>
      </c>
      <c r="BG6">
        <v>4.5</v>
      </c>
      <c r="BH6">
        <v>5</v>
      </c>
      <c r="BI6">
        <v>5.5</v>
      </c>
      <c r="BJ6">
        <v>6</v>
      </c>
      <c r="BK6">
        <v>6.5</v>
      </c>
      <c r="BL6">
        <v>7</v>
      </c>
      <c r="BM6">
        <v>7.5</v>
      </c>
      <c r="BN6">
        <v>8</v>
      </c>
      <c r="BO6">
        <v>8.5</v>
      </c>
      <c r="BP6">
        <v>9</v>
      </c>
      <c r="BQ6">
        <v>9</v>
      </c>
      <c r="BR6">
        <v>9.5</v>
      </c>
      <c r="BS6">
        <v>9.5</v>
      </c>
      <c r="BT6">
        <v>10</v>
      </c>
      <c r="BU6">
        <f>BT6+0.25</f>
        <v>10.25</v>
      </c>
      <c r="BV6">
        <f t="shared" ref="BV6:CU6" si="8">BU6+0.25</f>
        <v>10.5</v>
      </c>
      <c r="BW6">
        <f t="shared" si="8"/>
        <v>10.75</v>
      </c>
      <c r="BX6">
        <f t="shared" si="8"/>
        <v>11</v>
      </c>
      <c r="BY6">
        <f t="shared" si="8"/>
        <v>11.25</v>
      </c>
      <c r="BZ6">
        <f t="shared" si="8"/>
        <v>11.5</v>
      </c>
      <c r="CA6">
        <f t="shared" si="8"/>
        <v>11.75</v>
      </c>
      <c r="CB6">
        <f t="shared" si="8"/>
        <v>12</v>
      </c>
      <c r="CC6">
        <f t="shared" si="8"/>
        <v>12.25</v>
      </c>
      <c r="CD6">
        <f t="shared" si="8"/>
        <v>12.5</v>
      </c>
      <c r="CE6">
        <f t="shared" si="8"/>
        <v>12.75</v>
      </c>
      <c r="CF6">
        <f t="shared" si="8"/>
        <v>13</v>
      </c>
      <c r="CG6">
        <f t="shared" si="8"/>
        <v>13.25</v>
      </c>
      <c r="CH6">
        <f t="shared" si="8"/>
        <v>13.5</v>
      </c>
      <c r="CI6">
        <f t="shared" si="8"/>
        <v>13.75</v>
      </c>
      <c r="CJ6">
        <f t="shared" si="8"/>
        <v>14</v>
      </c>
      <c r="CK6">
        <f t="shared" si="8"/>
        <v>14.25</v>
      </c>
      <c r="CL6">
        <f t="shared" si="8"/>
        <v>14.5</v>
      </c>
      <c r="CM6">
        <f t="shared" si="8"/>
        <v>14.75</v>
      </c>
      <c r="CN6">
        <f t="shared" si="8"/>
        <v>15</v>
      </c>
      <c r="CO6">
        <f t="shared" si="8"/>
        <v>15.25</v>
      </c>
      <c r="CP6">
        <f t="shared" si="8"/>
        <v>15.5</v>
      </c>
      <c r="CQ6">
        <f t="shared" si="8"/>
        <v>15.75</v>
      </c>
      <c r="CR6">
        <f t="shared" si="8"/>
        <v>16</v>
      </c>
      <c r="CS6">
        <f t="shared" si="8"/>
        <v>16.25</v>
      </c>
      <c r="CT6">
        <f t="shared" si="8"/>
        <v>16.5</v>
      </c>
      <c r="CU6">
        <f t="shared" si="8"/>
        <v>16.75</v>
      </c>
      <c r="CV6" t="s">
        <v>57</v>
      </c>
    </row>
    <row r="7" spans="1:101" x14ac:dyDescent="0.25">
      <c r="A7" t="s">
        <v>65</v>
      </c>
      <c r="B7">
        <v>20</v>
      </c>
      <c r="C7">
        <v>30</v>
      </c>
      <c r="D7">
        <v>40</v>
      </c>
      <c r="E7">
        <v>50</v>
      </c>
      <c r="F7">
        <v>60</v>
      </c>
      <c r="G7">
        <v>70</v>
      </c>
      <c r="H7">
        <v>80</v>
      </c>
      <c r="I7">
        <v>90</v>
      </c>
      <c r="J7">
        <v>100</v>
      </c>
      <c r="K7">
        <v>110</v>
      </c>
      <c r="L7">
        <v>120</v>
      </c>
      <c r="M7">
        <v>130</v>
      </c>
      <c r="N7">
        <v>140</v>
      </c>
      <c r="O7">
        <v>150</v>
      </c>
      <c r="P7">
        <v>160</v>
      </c>
      <c r="Q7">
        <v>170</v>
      </c>
      <c r="R7">
        <v>180</v>
      </c>
      <c r="S7">
        <v>190</v>
      </c>
      <c r="T7">
        <v>200</v>
      </c>
      <c r="U7">
        <v>210</v>
      </c>
      <c r="V7">
        <v>220</v>
      </c>
      <c r="W7">
        <v>230</v>
      </c>
      <c r="X7">
        <v>240</v>
      </c>
      <c r="Y7">
        <v>250</v>
      </c>
      <c r="Z7">
        <v>260</v>
      </c>
      <c r="AA7">
        <v>270</v>
      </c>
      <c r="AB7">
        <v>280</v>
      </c>
      <c r="AC7">
        <v>290</v>
      </c>
      <c r="AD7">
        <v>300</v>
      </c>
      <c r="AE7">
        <v>310</v>
      </c>
      <c r="AF7">
        <v>320</v>
      </c>
      <c r="AG7">
        <v>330</v>
      </c>
      <c r="AH7">
        <v>340</v>
      </c>
      <c r="AI7">
        <v>350</v>
      </c>
      <c r="AJ7">
        <v>360</v>
      </c>
      <c r="AK7">
        <v>370</v>
      </c>
      <c r="AL7">
        <v>380</v>
      </c>
      <c r="AM7">
        <v>390</v>
      </c>
      <c r="AN7">
        <v>400</v>
      </c>
      <c r="AO7">
        <v>410</v>
      </c>
      <c r="AP7">
        <v>420</v>
      </c>
      <c r="AQ7">
        <v>430</v>
      </c>
      <c r="AR7">
        <v>440</v>
      </c>
      <c r="AS7">
        <v>450</v>
      </c>
      <c r="AT7">
        <v>460</v>
      </c>
      <c r="AU7">
        <v>470</v>
      </c>
      <c r="AV7">
        <v>480</v>
      </c>
      <c r="AW7">
        <v>490</v>
      </c>
      <c r="AX7">
        <v>500</v>
      </c>
      <c r="AY7">
        <f>AX7+10</f>
        <v>510</v>
      </c>
      <c r="AZ7">
        <f t="shared" ref="AZ7:BT7" si="9">AY7+10</f>
        <v>520</v>
      </c>
      <c r="BA7">
        <f t="shared" si="9"/>
        <v>530</v>
      </c>
      <c r="BB7">
        <f t="shared" si="9"/>
        <v>540</v>
      </c>
      <c r="BC7">
        <f t="shared" si="9"/>
        <v>550</v>
      </c>
      <c r="BD7">
        <f t="shared" si="9"/>
        <v>560</v>
      </c>
      <c r="BE7">
        <f t="shared" si="9"/>
        <v>570</v>
      </c>
      <c r="BF7">
        <f t="shared" si="9"/>
        <v>580</v>
      </c>
      <c r="BG7">
        <f t="shared" si="9"/>
        <v>590</v>
      </c>
      <c r="BH7">
        <f t="shared" si="9"/>
        <v>600</v>
      </c>
      <c r="BI7">
        <f t="shared" si="9"/>
        <v>610</v>
      </c>
      <c r="BJ7">
        <f t="shared" si="9"/>
        <v>620</v>
      </c>
      <c r="BK7">
        <f t="shared" si="9"/>
        <v>630</v>
      </c>
      <c r="BL7">
        <f t="shared" si="9"/>
        <v>640</v>
      </c>
      <c r="BM7">
        <f t="shared" si="9"/>
        <v>650</v>
      </c>
      <c r="BN7">
        <f t="shared" si="9"/>
        <v>660</v>
      </c>
      <c r="BO7">
        <f t="shared" si="9"/>
        <v>670</v>
      </c>
      <c r="BP7">
        <f t="shared" si="9"/>
        <v>680</v>
      </c>
      <c r="BQ7">
        <f t="shared" si="9"/>
        <v>690</v>
      </c>
      <c r="BR7">
        <f t="shared" si="9"/>
        <v>700</v>
      </c>
      <c r="BS7">
        <f t="shared" si="9"/>
        <v>710</v>
      </c>
      <c r="BT7">
        <f t="shared" si="9"/>
        <v>720</v>
      </c>
      <c r="BU7">
        <f>BT7+5</f>
        <v>725</v>
      </c>
      <c r="BV7">
        <f t="shared" ref="BV7:CU7" si="10">BU7+5</f>
        <v>730</v>
      </c>
      <c r="BW7">
        <f t="shared" si="10"/>
        <v>735</v>
      </c>
      <c r="BX7">
        <f t="shared" si="10"/>
        <v>740</v>
      </c>
      <c r="BY7">
        <f t="shared" si="10"/>
        <v>745</v>
      </c>
      <c r="BZ7">
        <f t="shared" si="10"/>
        <v>750</v>
      </c>
      <c r="CA7">
        <f t="shared" si="10"/>
        <v>755</v>
      </c>
      <c r="CB7">
        <f t="shared" si="10"/>
        <v>760</v>
      </c>
      <c r="CC7">
        <f t="shared" si="10"/>
        <v>765</v>
      </c>
      <c r="CD7">
        <f t="shared" si="10"/>
        <v>770</v>
      </c>
      <c r="CE7">
        <f t="shared" si="10"/>
        <v>775</v>
      </c>
      <c r="CF7">
        <f t="shared" si="10"/>
        <v>780</v>
      </c>
      <c r="CG7">
        <f t="shared" si="10"/>
        <v>785</v>
      </c>
      <c r="CH7">
        <f t="shared" si="10"/>
        <v>790</v>
      </c>
      <c r="CI7">
        <f t="shared" si="10"/>
        <v>795</v>
      </c>
      <c r="CJ7">
        <f t="shared" si="10"/>
        <v>800</v>
      </c>
      <c r="CK7">
        <f t="shared" si="10"/>
        <v>805</v>
      </c>
      <c r="CL7">
        <f t="shared" si="10"/>
        <v>810</v>
      </c>
      <c r="CM7">
        <f t="shared" si="10"/>
        <v>815</v>
      </c>
      <c r="CN7">
        <f t="shared" si="10"/>
        <v>820</v>
      </c>
      <c r="CO7">
        <f t="shared" si="10"/>
        <v>825</v>
      </c>
      <c r="CP7">
        <f t="shared" si="10"/>
        <v>830</v>
      </c>
      <c r="CQ7">
        <f t="shared" si="10"/>
        <v>835</v>
      </c>
      <c r="CR7">
        <f t="shared" si="10"/>
        <v>840</v>
      </c>
      <c r="CS7">
        <f t="shared" si="10"/>
        <v>845</v>
      </c>
      <c r="CT7">
        <f t="shared" si="10"/>
        <v>850</v>
      </c>
      <c r="CU7">
        <f t="shared" si="10"/>
        <v>855</v>
      </c>
      <c r="CV7" t="s">
        <v>151</v>
      </c>
    </row>
    <row r="8" spans="1:101" x14ac:dyDescent="0.25">
      <c r="A8" t="s">
        <v>26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0.5</v>
      </c>
      <c r="AZ8">
        <v>1</v>
      </c>
      <c r="BA8">
        <v>1.5</v>
      </c>
      <c r="BB8">
        <v>2</v>
      </c>
      <c r="BC8">
        <v>2.5</v>
      </c>
      <c r="BD8">
        <v>3</v>
      </c>
      <c r="BE8">
        <v>3.5</v>
      </c>
      <c r="BF8">
        <v>4</v>
      </c>
      <c r="BG8">
        <v>4.5</v>
      </c>
      <c r="BH8">
        <v>5</v>
      </c>
      <c r="BI8">
        <v>5.5</v>
      </c>
      <c r="BJ8">
        <v>6</v>
      </c>
      <c r="BK8">
        <v>6.5</v>
      </c>
      <c r="BL8">
        <v>7</v>
      </c>
      <c r="BM8">
        <v>7.5</v>
      </c>
      <c r="BN8">
        <v>8</v>
      </c>
      <c r="BO8">
        <v>8.5</v>
      </c>
      <c r="BP8">
        <v>9</v>
      </c>
      <c r="BQ8">
        <v>9</v>
      </c>
      <c r="BR8">
        <v>9.5</v>
      </c>
      <c r="BS8">
        <v>9.5</v>
      </c>
      <c r="BT8">
        <v>10</v>
      </c>
      <c r="BU8">
        <f>BT8+0.25</f>
        <v>10.25</v>
      </c>
      <c r="BV8">
        <f t="shared" ref="BV8:CU8" si="11">BU8+0.25</f>
        <v>10.5</v>
      </c>
      <c r="BW8">
        <f t="shared" si="11"/>
        <v>10.75</v>
      </c>
      <c r="BX8">
        <f t="shared" si="11"/>
        <v>11</v>
      </c>
      <c r="BY8">
        <f t="shared" si="11"/>
        <v>11.25</v>
      </c>
      <c r="BZ8">
        <f t="shared" si="11"/>
        <v>11.5</v>
      </c>
      <c r="CA8">
        <f t="shared" si="11"/>
        <v>11.75</v>
      </c>
      <c r="CB8">
        <f t="shared" si="11"/>
        <v>12</v>
      </c>
      <c r="CC8">
        <f t="shared" si="11"/>
        <v>12.25</v>
      </c>
      <c r="CD8">
        <f t="shared" si="11"/>
        <v>12.5</v>
      </c>
      <c r="CE8">
        <f t="shared" si="11"/>
        <v>12.75</v>
      </c>
      <c r="CF8">
        <f t="shared" si="11"/>
        <v>13</v>
      </c>
      <c r="CG8">
        <f t="shared" si="11"/>
        <v>13.25</v>
      </c>
      <c r="CH8">
        <f t="shared" si="11"/>
        <v>13.5</v>
      </c>
      <c r="CI8">
        <f t="shared" si="11"/>
        <v>13.75</v>
      </c>
      <c r="CJ8">
        <f t="shared" si="11"/>
        <v>14</v>
      </c>
      <c r="CK8">
        <f t="shared" si="11"/>
        <v>14.25</v>
      </c>
      <c r="CL8">
        <f t="shared" si="11"/>
        <v>14.5</v>
      </c>
      <c r="CM8">
        <f t="shared" si="11"/>
        <v>14.75</v>
      </c>
      <c r="CN8">
        <f t="shared" si="11"/>
        <v>15</v>
      </c>
      <c r="CO8">
        <f t="shared" si="11"/>
        <v>15.25</v>
      </c>
      <c r="CP8">
        <f t="shared" si="11"/>
        <v>15.5</v>
      </c>
      <c r="CQ8">
        <f t="shared" si="11"/>
        <v>15.75</v>
      </c>
      <c r="CR8">
        <f t="shared" si="11"/>
        <v>16</v>
      </c>
      <c r="CS8">
        <f t="shared" si="11"/>
        <v>16.25</v>
      </c>
      <c r="CT8">
        <f t="shared" si="11"/>
        <v>16.5</v>
      </c>
      <c r="CU8">
        <f t="shared" si="11"/>
        <v>16.75</v>
      </c>
      <c r="CV8" t="s">
        <v>57</v>
      </c>
    </row>
    <row r="9" spans="1:101" x14ac:dyDescent="0.25">
      <c r="A9" t="s">
        <v>25</v>
      </c>
      <c r="B9">
        <v>8</v>
      </c>
      <c r="C9">
        <v>12</v>
      </c>
      <c r="D9">
        <v>16</v>
      </c>
      <c r="E9">
        <v>20</v>
      </c>
      <c r="F9">
        <v>24</v>
      </c>
      <c r="G9">
        <v>28</v>
      </c>
      <c r="H9">
        <v>32</v>
      </c>
      <c r="I9">
        <v>36</v>
      </c>
      <c r="J9">
        <v>40</v>
      </c>
      <c r="K9">
        <v>44</v>
      </c>
      <c r="L9">
        <v>48</v>
      </c>
      <c r="M9">
        <v>52</v>
      </c>
      <c r="N9">
        <v>56</v>
      </c>
      <c r="O9">
        <v>60</v>
      </c>
      <c r="P9">
        <v>64</v>
      </c>
      <c r="Q9">
        <v>68</v>
      </c>
      <c r="R9">
        <v>72</v>
      </c>
      <c r="S9">
        <v>76</v>
      </c>
      <c r="T9">
        <v>80</v>
      </c>
      <c r="U9">
        <v>84</v>
      </c>
      <c r="V9">
        <v>88</v>
      </c>
      <c r="W9">
        <v>92</v>
      </c>
      <c r="X9">
        <v>96</v>
      </c>
      <c r="Y9">
        <v>100</v>
      </c>
      <c r="Z9">
        <v>104</v>
      </c>
      <c r="AA9">
        <v>108</v>
      </c>
      <c r="AB9">
        <v>112</v>
      </c>
      <c r="AC9">
        <v>116</v>
      </c>
      <c r="AD9">
        <v>120</v>
      </c>
      <c r="AE9">
        <v>124</v>
      </c>
      <c r="AF9">
        <v>128</v>
      </c>
      <c r="AG9">
        <v>132</v>
      </c>
      <c r="AH9">
        <v>136</v>
      </c>
      <c r="AI9">
        <v>140</v>
      </c>
      <c r="AJ9">
        <v>144</v>
      </c>
      <c r="AK9">
        <v>148</v>
      </c>
      <c r="AL9">
        <v>152</v>
      </c>
      <c r="AM9">
        <v>156</v>
      </c>
      <c r="AN9">
        <v>160</v>
      </c>
      <c r="AO9">
        <v>164</v>
      </c>
      <c r="AP9">
        <v>168</v>
      </c>
      <c r="AQ9">
        <v>172</v>
      </c>
      <c r="AR9">
        <v>176</v>
      </c>
      <c r="AS9">
        <v>180</v>
      </c>
      <c r="AT9">
        <v>184</v>
      </c>
      <c r="AU9">
        <v>188</v>
      </c>
      <c r="AV9">
        <v>192</v>
      </c>
      <c r="AW9">
        <v>196</v>
      </c>
      <c r="AX9">
        <v>200</v>
      </c>
      <c r="AY9">
        <f>AX9+4</f>
        <v>204</v>
      </c>
      <c r="AZ9">
        <f t="shared" ref="AZ9:BT9" si="12">AY9+4</f>
        <v>208</v>
      </c>
      <c r="BA9">
        <f t="shared" si="12"/>
        <v>212</v>
      </c>
      <c r="BB9">
        <f t="shared" si="12"/>
        <v>216</v>
      </c>
      <c r="BC9">
        <f t="shared" si="12"/>
        <v>220</v>
      </c>
      <c r="BD9">
        <f t="shared" si="12"/>
        <v>224</v>
      </c>
      <c r="BE9">
        <f t="shared" si="12"/>
        <v>228</v>
      </c>
      <c r="BF9">
        <f t="shared" si="12"/>
        <v>232</v>
      </c>
      <c r="BG9">
        <f t="shared" si="12"/>
        <v>236</v>
      </c>
      <c r="BH9">
        <f t="shared" si="12"/>
        <v>240</v>
      </c>
      <c r="BI9">
        <f t="shared" si="12"/>
        <v>244</v>
      </c>
      <c r="BJ9">
        <f t="shared" si="12"/>
        <v>248</v>
      </c>
      <c r="BK9">
        <f t="shared" si="12"/>
        <v>252</v>
      </c>
      <c r="BL9">
        <f t="shared" si="12"/>
        <v>256</v>
      </c>
      <c r="BM9">
        <f t="shared" si="12"/>
        <v>260</v>
      </c>
      <c r="BN9">
        <f t="shared" si="12"/>
        <v>264</v>
      </c>
      <c r="BO9">
        <f t="shared" si="12"/>
        <v>268</v>
      </c>
      <c r="BP9">
        <f t="shared" si="12"/>
        <v>272</v>
      </c>
      <c r="BQ9">
        <f t="shared" si="12"/>
        <v>276</v>
      </c>
      <c r="BR9">
        <f t="shared" si="12"/>
        <v>280</v>
      </c>
      <c r="BS9">
        <f t="shared" si="12"/>
        <v>284</v>
      </c>
      <c r="BT9">
        <f t="shared" si="12"/>
        <v>288</v>
      </c>
      <c r="BU9">
        <f>BT9+2</f>
        <v>290</v>
      </c>
      <c r="BV9">
        <f t="shared" ref="BV9:CU9" si="13">BU9+2</f>
        <v>292</v>
      </c>
      <c r="BW9">
        <f t="shared" si="13"/>
        <v>294</v>
      </c>
      <c r="BX9">
        <f t="shared" si="13"/>
        <v>296</v>
      </c>
      <c r="BY9">
        <f t="shared" si="13"/>
        <v>298</v>
      </c>
      <c r="BZ9">
        <f t="shared" si="13"/>
        <v>300</v>
      </c>
      <c r="CA9">
        <f t="shared" si="13"/>
        <v>302</v>
      </c>
      <c r="CB9">
        <f t="shared" si="13"/>
        <v>304</v>
      </c>
      <c r="CC9">
        <f t="shared" si="13"/>
        <v>306</v>
      </c>
      <c r="CD9">
        <f t="shared" si="13"/>
        <v>308</v>
      </c>
      <c r="CE9">
        <f t="shared" si="13"/>
        <v>310</v>
      </c>
      <c r="CF9">
        <f t="shared" si="13"/>
        <v>312</v>
      </c>
      <c r="CG9">
        <f t="shared" si="13"/>
        <v>314</v>
      </c>
      <c r="CH9">
        <f t="shared" si="13"/>
        <v>316</v>
      </c>
      <c r="CI9">
        <f t="shared" si="13"/>
        <v>318</v>
      </c>
      <c r="CJ9">
        <f t="shared" si="13"/>
        <v>320</v>
      </c>
      <c r="CK9">
        <f t="shared" si="13"/>
        <v>322</v>
      </c>
      <c r="CL9">
        <f t="shared" si="13"/>
        <v>324</v>
      </c>
      <c r="CM9">
        <f t="shared" si="13"/>
        <v>326</v>
      </c>
      <c r="CN9">
        <f t="shared" si="13"/>
        <v>328</v>
      </c>
      <c r="CO9">
        <f t="shared" si="13"/>
        <v>330</v>
      </c>
      <c r="CP9">
        <f t="shared" si="13"/>
        <v>332</v>
      </c>
      <c r="CQ9">
        <f t="shared" si="13"/>
        <v>334</v>
      </c>
      <c r="CR9">
        <f t="shared" si="13"/>
        <v>336</v>
      </c>
      <c r="CS9">
        <f t="shared" si="13"/>
        <v>338</v>
      </c>
      <c r="CT9">
        <f t="shared" si="13"/>
        <v>340</v>
      </c>
      <c r="CU9">
        <f t="shared" si="13"/>
        <v>342</v>
      </c>
      <c r="CV9" t="s">
        <v>153</v>
      </c>
    </row>
    <row r="14" spans="1:101" x14ac:dyDescent="0.25">
      <c r="B14">
        <v>1</v>
      </c>
      <c r="C14" s="1">
        <f>B14+1</f>
        <v>2</v>
      </c>
      <c r="D14" s="1">
        <f t="shared" ref="D14:BO14" si="14">C14+1</f>
        <v>3</v>
      </c>
      <c r="E14" s="1">
        <f t="shared" si="14"/>
        <v>4</v>
      </c>
      <c r="F14" s="1">
        <f t="shared" si="14"/>
        <v>5</v>
      </c>
      <c r="G14" s="1">
        <f t="shared" si="14"/>
        <v>6</v>
      </c>
      <c r="H14" s="1">
        <f t="shared" si="14"/>
        <v>7</v>
      </c>
      <c r="I14" s="1">
        <f t="shared" si="14"/>
        <v>8</v>
      </c>
      <c r="J14" s="1">
        <f t="shared" si="14"/>
        <v>9</v>
      </c>
      <c r="K14" s="1">
        <f t="shared" si="14"/>
        <v>10</v>
      </c>
      <c r="L14" s="1">
        <f t="shared" si="14"/>
        <v>11</v>
      </c>
      <c r="M14" s="1">
        <f t="shared" si="14"/>
        <v>12</v>
      </c>
      <c r="N14" s="1">
        <f t="shared" si="14"/>
        <v>13</v>
      </c>
      <c r="O14" s="1">
        <f t="shared" si="14"/>
        <v>14</v>
      </c>
      <c r="P14" s="1">
        <f t="shared" si="14"/>
        <v>15</v>
      </c>
      <c r="Q14" s="1">
        <f t="shared" si="14"/>
        <v>16</v>
      </c>
      <c r="R14" s="1">
        <f t="shared" si="14"/>
        <v>17</v>
      </c>
      <c r="S14" s="1">
        <f t="shared" si="14"/>
        <v>18</v>
      </c>
      <c r="T14" s="1">
        <f t="shared" si="14"/>
        <v>19</v>
      </c>
      <c r="U14" s="1">
        <f t="shared" si="14"/>
        <v>20</v>
      </c>
      <c r="V14" s="1">
        <f t="shared" si="14"/>
        <v>21</v>
      </c>
      <c r="W14" s="1">
        <f t="shared" si="14"/>
        <v>22</v>
      </c>
      <c r="X14" s="1">
        <f t="shared" si="14"/>
        <v>23</v>
      </c>
      <c r="Y14" s="1">
        <f t="shared" si="14"/>
        <v>24</v>
      </c>
      <c r="Z14" s="1">
        <f t="shared" si="14"/>
        <v>25</v>
      </c>
      <c r="AA14" s="1">
        <f t="shared" si="14"/>
        <v>26</v>
      </c>
      <c r="AB14" s="1">
        <f t="shared" si="14"/>
        <v>27</v>
      </c>
      <c r="AC14" s="1">
        <f t="shared" si="14"/>
        <v>28</v>
      </c>
      <c r="AD14" s="1">
        <f t="shared" si="14"/>
        <v>29</v>
      </c>
      <c r="AE14" s="1">
        <f t="shared" si="14"/>
        <v>30</v>
      </c>
      <c r="AF14" s="1">
        <f t="shared" si="14"/>
        <v>31</v>
      </c>
      <c r="AG14" s="1">
        <f t="shared" si="14"/>
        <v>32</v>
      </c>
      <c r="AH14" s="1">
        <f t="shared" si="14"/>
        <v>33</v>
      </c>
      <c r="AI14" s="1">
        <f t="shared" si="14"/>
        <v>34</v>
      </c>
      <c r="AJ14" s="1">
        <f t="shared" si="14"/>
        <v>35</v>
      </c>
      <c r="AK14" s="1">
        <f t="shared" si="14"/>
        <v>36</v>
      </c>
      <c r="AL14" s="1">
        <f t="shared" si="14"/>
        <v>37</v>
      </c>
      <c r="AM14" s="1">
        <f t="shared" si="14"/>
        <v>38</v>
      </c>
      <c r="AN14" s="1">
        <f t="shared" si="14"/>
        <v>39</v>
      </c>
      <c r="AO14" s="1">
        <f t="shared" si="14"/>
        <v>40</v>
      </c>
      <c r="AP14" s="1">
        <f t="shared" si="14"/>
        <v>41</v>
      </c>
      <c r="AQ14" s="1">
        <f t="shared" si="14"/>
        <v>42</v>
      </c>
      <c r="AR14" s="1">
        <f t="shared" si="14"/>
        <v>43</v>
      </c>
      <c r="AS14" s="1">
        <f t="shared" si="14"/>
        <v>44</v>
      </c>
      <c r="AT14" s="1">
        <f t="shared" si="14"/>
        <v>45</v>
      </c>
      <c r="AU14" s="1">
        <f t="shared" si="14"/>
        <v>46</v>
      </c>
      <c r="AV14" s="1">
        <f t="shared" si="14"/>
        <v>47</v>
      </c>
      <c r="AW14" s="1">
        <f t="shared" si="14"/>
        <v>48</v>
      </c>
      <c r="AX14" s="1">
        <f t="shared" si="14"/>
        <v>49</v>
      </c>
      <c r="AY14" s="1">
        <f t="shared" si="14"/>
        <v>50</v>
      </c>
      <c r="AZ14" s="1">
        <f t="shared" si="14"/>
        <v>51</v>
      </c>
      <c r="BA14" s="1">
        <f t="shared" si="14"/>
        <v>52</v>
      </c>
      <c r="BB14" s="1">
        <f t="shared" si="14"/>
        <v>53</v>
      </c>
      <c r="BC14" s="1">
        <f t="shared" si="14"/>
        <v>54</v>
      </c>
      <c r="BD14" s="1">
        <f t="shared" si="14"/>
        <v>55</v>
      </c>
      <c r="BE14" s="1">
        <f t="shared" si="14"/>
        <v>56</v>
      </c>
      <c r="BF14" s="1">
        <f t="shared" si="14"/>
        <v>57</v>
      </c>
      <c r="BG14" s="1">
        <f t="shared" si="14"/>
        <v>58</v>
      </c>
      <c r="BH14" s="1">
        <f t="shared" si="14"/>
        <v>59</v>
      </c>
      <c r="BI14" s="1">
        <f t="shared" si="14"/>
        <v>60</v>
      </c>
      <c r="BJ14" s="1">
        <f t="shared" si="14"/>
        <v>61</v>
      </c>
      <c r="BK14" s="1">
        <f t="shared" si="14"/>
        <v>62</v>
      </c>
      <c r="BL14" s="1">
        <f t="shared" si="14"/>
        <v>63</v>
      </c>
      <c r="BM14" s="1">
        <f t="shared" si="14"/>
        <v>64</v>
      </c>
      <c r="BN14" s="1">
        <f t="shared" si="14"/>
        <v>65</v>
      </c>
      <c r="BO14" s="1">
        <f t="shared" si="14"/>
        <v>66</v>
      </c>
      <c r="BP14" s="1">
        <f t="shared" ref="BP14:CV14" si="15">BO14+1</f>
        <v>67</v>
      </c>
      <c r="BQ14" s="1">
        <f t="shared" si="15"/>
        <v>68</v>
      </c>
      <c r="BR14" s="1">
        <f t="shared" si="15"/>
        <v>69</v>
      </c>
      <c r="BS14" s="1">
        <f t="shared" si="15"/>
        <v>70</v>
      </c>
      <c r="BT14" s="1">
        <f t="shared" si="15"/>
        <v>71</v>
      </c>
      <c r="BU14" s="1">
        <f t="shared" si="15"/>
        <v>72</v>
      </c>
      <c r="BV14" s="1">
        <f t="shared" si="15"/>
        <v>73</v>
      </c>
      <c r="BW14" s="1">
        <f t="shared" si="15"/>
        <v>74</v>
      </c>
      <c r="BX14" s="1">
        <f t="shared" si="15"/>
        <v>75</v>
      </c>
      <c r="BY14" s="1">
        <f t="shared" si="15"/>
        <v>76</v>
      </c>
      <c r="BZ14" s="1">
        <f t="shared" si="15"/>
        <v>77</v>
      </c>
      <c r="CA14" s="1">
        <f t="shared" si="15"/>
        <v>78</v>
      </c>
      <c r="CB14" s="1">
        <f t="shared" si="15"/>
        <v>79</v>
      </c>
      <c r="CC14" s="1">
        <f t="shared" si="15"/>
        <v>80</v>
      </c>
      <c r="CD14" s="1">
        <f t="shared" si="15"/>
        <v>81</v>
      </c>
      <c r="CE14" s="1">
        <f t="shared" si="15"/>
        <v>82</v>
      </c>
      <c r="CF14" s="1">
        <f t="shared" si="15"/>
        <v>83</v>
      </c>
      <c r="CG14" s="1">
        <f t="shared" si="15"/>
        <v>84</v>
      </c>
      <c r="CH14" s="1">
        <f t="shared" si="15"/>
        <v>85</v>
      </c>
      <c r="CI14" s="1">
        <f t="shared" si="15"/>
        <v>86</v>
      </c>
      <c r="CJ14" s="1">
        <f t="shared" si="15"/>
        <v>87</v>
      </c>
      <c r="CK14" s="1">
        <f t="shared" si="15"/>
        <v>88</v>
      </c>
      <c r="CL14" s="1">
        <f t="shared" si="15"/>
        <v>89</v>
      </c>
      <c r="CM14" s="1">
        <f t="shared" si="15"/>
        <v>90</v>
      </c>
      <c r="CN14" s="1">
        <f t="shared" si="15"/>
        <v>91</v>
      </c>
      <c r="CO14" s="1">
        <f t="shared" si="15"/>
        <v>92</v>
      </c>
      <c r="CP14" s="1">
        <f t="shared" si="15"/>
        <v>93</v>
      </c>
      <c r="CQ14" s="1">
        <f t="shared" si="15"/>
        <v>94</v>
      </c>
      <c r="CR14" s="1">
        <f t="shared" si="15"/>
        <v>95</v>
      </c>
      <c r="CS14" s="1">
        <f t="shared" si="15"/>
        <v>96</v>
      </c>
      <c r="CT14" s="1">
        <f t="shared" si="15"/>
        <v>97</v>
      </c>
      <c r="CU14" s="1">
        <f t="shared" si="15"/>
        <v>98</v>
      </c>
      <c r="CV14" s="1">
        <f t="shared" si="15"/>
        <v>99</v>
      </c>
      <c r="CW14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X14"/>
  <sheetViews>
    <sheetView workbookViewId="0"/>
  </sheetViews>
  <sheetFormatPr defaultRowHeight="15" x14ac:dyDescent="0.25"/>
  <cols>
    <col min="1" max="1" width="138.85546875" bestFit="1" customWidth="1"/>
    <col min="2" max="2" width="36.42578125" bestFit="1" customWidth="1"/>
    <col min="3" max="5" width="3" bestFit="1" customWidth="1"/>
    <col min="6" max="50" width="4" bestFit="1" customWidth="1"/>
    <col min="51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" t="s">
        <v>60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v>150</v>
      </c>
      <c r="AZ1">
        <f>AY1+3</f>
        <v>153</v>
      </c>
      <c r="BA1">
        <f t="shared" ref="BA1:BU1" si="0">AZ1+3</f>
        <v>156</v>
      </c>
      <c r="BB1">
        <f t="shared" si="0"/>
        <v>159</v>
      </c>
      <c r="BC1">
        <f t="shared" si="0"/>
        <v>162</v>
      </c>
      <c r="BD1">
        <f t="shared" si="0"/>
        <v>165</v>
      </c>
      <c r="BE1">
        <f t="shared" si="0"/>
        <v>168</v>
      </c>
      <c r="BF1">
        <f t="shared" si="0"/>
        <v>171</v>
      </c>
      <c r="BG1">
        <f t="shared" si="0"/>
        <v>174</v>
      </c>
      <c r="BH1">
        <f t="shared" si="0"/>
        <v>177</v>
      </c>
      <c r="BI1">
        <f t="shared" si="0"/>
        <v>180</v>
      </c>
      <c r="BJ1">
        <f t="shared" si="0"/>
        <v>183</v>
      </c>
      <c r="BK1">
        <f t="shared" si="0"/>
        <v>186</v>
      </c>
      <c r="BL1">
        <f t="shared" si="0"/>
        <v>189</v>
      </c>
      <c r="BM1">
        <f t="shared" si="0"/>
        <v>192</v>
      </c>
      <c r="BN1">
        <f t="shared" si="0"/>
        <v>195</v>
      </c>
      <c r="BO1">
        <f t="shared" si="0"/>
        <v>198</v>
      </c>
      <c r="BP1">
        <f t="shared" si="0"/>
        <v>201</v>
      </c>
      <c r="BQ1">
        <f t="shared" si="0"/>
        <v>204</v>
      </c>
      <c r="BR1">
        <f t="shared" si="0"/>
        <v>207</v>
      </c>
      <c r="BS1">
        <f t="shared" si="0"/>
        <v>210</v>
      </c>
      <c r="BT1">
        <f t="shared" si="0"/>
        <v>213</v>
      </c>
      <c r="BU1">
        <f t="shared" si="0"/>
        <v>216</v>
      </c>
      <c r="BV1">
        <f>BU1+1.5</f>
        <v>217.5</v>
      </c>
      <c r="BW1">
        <f t="shared" ref="BW1:CV1" si="1">BV1+1.5</f>
        <v>219</v>
      </c>
      <c r="BX1">
        <f t="shared" si="1"/>
        <v>220.5</v>
      </c>
      <c r="BY1">
        <f t="shared" si="1"/>
        <v>222</v>
      </c>
      <c r="BZ1">
        <f t="shared" si="1"/>
        <v>223.5</v>
      </c>
      <c r="CA1">
        <f t="shared" si="1"/>
        <v>225</v>
      </c>
      <c r="CB1">
        <f t="shared" si="1"/>
        <v>226.5</v>
      </c>
      <c r="CC1">
        <f t="shared" si="1"/>
        <v>228</v>
      </c>
      <c r="CD1">
        <f t="shared" si="1"/>
        <v>229.5</v>
      </c>
      <c r="CE1">
        <f t="shared" si="1"/>
        <v>231</v>
      </c>
      <c r="CF1">
        <f t="shared" si="1"/>
        <v>232.5</v>
      </c>
      <c r="CG1">
        <f t="shared" si="1"/>
        <v>234</v>
      </c>
      <c r="CH1">
        <f t="shared" si="1"/>
        <v>235.5</v>
      </c>
      <c r="CI1">
        <f t="shared" si="1"/>
        <v>237</v>
      </c>
      <c r="CJ1">
        <f t="shared" si="1"/>
        <v>238.5</v>
      </c>
      <c r="CK1">
        <f t="shared" si="1"/>
        <v>240</v>
      </c>
      <c r="CL1">
        <f t="shared" si="1"/>
        <v>241.5</v>
      </c>
      <c r="CM1">
        <f t="shared" si="1"/>
        <v>243</v>
      </c>
      <c r="CN1">
        <f t="shared" si="1"/>
        <v>244.5</v>
      </c>
      <c r="CO1">
        <f t="shared" si="1"/>
        <v>246</v>
      </c>
      <c r="CP1">
        <f t="shared" si="1"/>
        <v>247.5</v>
      </c>
      <c r="CQ1">
        <f t="shared" si="1"/>
        <v>249</v>
      </c>
      <c r="CR1">
        <f t="shared" si="1"/>
        <v>250.5</v>
      </c>
      <c r="CS1">
        <f t="shared" si="1"/>
        <v>252</v>
      </c>
      <c r="CT1">
        <f t="shared" si="1"/>
        <v>253.5</v>
      </c>
      <c r="CU1">
        <f t="shared" si="1"/>
        <v>255</v>
      </c>
      <c r="CV1">
        <f t="shared" si="1"/>
        <v>256.5</v>
      </c>
      <c r="CW1" t="s">
        <v>155</v>
      </c>
    </row>
    <row r="2" spans="1:102" x14ac:dyDescent="0.25">
      <c r="A2" t="str">
        <f t="shared" ref="A2:A10" si="2">combine(B2:CW2)</f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2" t="s">
        <v>152</v>
      </c>
      <c r="C2">
        <v>12</v>
      </c>
      <c r="D2">
        <v>18</v>
      </c>
      <c r="E2">
        <v>24</v>
      </c>
      <c r="F2">
        <v>30</v>
      </c>
      <c r="G2">
        <v>36</v>
      </c>
      <c r="H2">
        <v>42</v>
      </c>
      <c r="I2">
        <v>48</v>
      </c>
      <c r="J2">
        <v>54</v>
      </c>
      <c r="K2">
        <v>60</v>
      </c>
      <c r="L2">
        <v>66</v>
      </c>
      <c r="M2">
        <v>72</v>
      </c>
      <c r="N2">
        <v>78</v>
      </c>
      <c r="O2">
        <v>84</v>
      </c>
      <c r="P2">
        <v>90</v>
      </c>
      <c r="Q2">
        <v>96</v>
      </c>
      <c r="R2">
        <v>102</v>
      </c>
      <c r="S2">
        <v>108</v>
      </c>
      <c r="T2">
        <v>114</v>
      </c>
      <c r="U2">
        <v>120</v>
      </c>
      <c r="V2">
        <v>126</v>
      </c>
      <c r="W2">
        <v>132</v>
      </c>
      <c r="X2">
        <v>138</v>
      </c>
      <c r="Y2">
        <v>144</v>
      </c>
      <c r="Z2">
        <v>150</v>
      </c>
      <c r="AA2">
        <v>156</v>
      </c>
      <c r="AB2">
        <v>162</v>
      </c>
      <c r="AC2">
        <v>168</v>
      </c>
      <c r="AD2">
        <v>174</v>
      </c>
      <c r="AE2">
        <v>180</v>
      </c>
      <c r="AF2">
        <v>186</v>
      </c>
      <c r="AG2">
        <v>192</v>
      </c>
      <c r="AH2">
        <v>198</v>
      </c>
      <c r="AI2">
        <v>204</v>
      </c>
      <c r="AJ2">
        <v>210</v>
      </c>
      <c r="AK2">
        <v>216</v>
      </c>
      <c r="AL2">
        <v>222</v>
      </c>
      <c r="AM2">
        <v>228</v>
      </c>
      <c r="AN2">
        <v>234</v>
      </c>
      <c r="AO2">
        <v>240</v>
      </c>
      <c r="AP2">
        <v>246</v>
      </c>
      <c r="AQ2">
        <v>252</v>
      </c>
      <c r="AR2">
        <v>258</v>
      </c>
      <c r="AS2">
        <v>264</v>
      </c>
      <c r="AT2">
        <v>270</v>
      </c>
      <c r="AU2">
        <v>276</v>
      </c>
      <c r="AV2">
        <v>282</v>
      </c>
      <c r="AW2">
        <v>288</v>
      </c>
      <c r="AX2">
        <v>294</v>
      </c>
      <c r="AY2">
        <v>300</v>
      </c>
      <c r="AZ2">
        <f>AY2+6</f>
        <v>306</v>
      </c>
      <c r="BA2">
        <f t="shared" ref="BA2:BU2" si="3">AZ2+6</f>
        <v>312</v>
      </c>
      <c r="BB2">
        <f t="shared" si="3"/>
        <v>318</v>
      </c>
      <c r="BC2">
        <f t="shared" si="3"/>
        <v>324</v>
      </c>
      <c r="BD2">
        <f t="shared" si="3"/>
        <v>330</v>
      </c>
      <c r="BE2">
        <f t="shared" si="3"/>
        <v>336</v>
      </c>
      <c r="BF2">
        <f t="shared" si="3"/>
        <v>342</v>
      </c>
      <c r="BG2">
        <f t="shared" si="3"/>
        <v>348</v>
      </c>
      <c r="BH2">
        <f t="shared" si="3"/>
        <v>354</v>
      </c>
      <c r="BI2">
        <f t="shared" si="3"/>
        <v>360</v>
      </c>
      <c r="BJ2">
        <f t="shared" si="3"/>
        <v>366</v>
      </c>
      <c r="BK2">
        <f t="shared" si="3"/>
        <v>372</v>
      </c>
      <c r="BL2">
        <f t="shared" si="3"/>
        <v>378</v>
      </c>
      <c r="BM2">
        <f t="shared" si="3"/>
        <v>384</v>
      </c>
      <c r="BN2">
        <f t="shared" si="3"/>
        <v>390</v>
      </c>
      <c r="BO2">
        <f t="shared" si="3"/>
        <v>396</v>
      </c>
      <c r="BP2">
        <f t="shared" si="3"/>
        <v>402</v>
      </c>
      <c r="BQ2">
        <f t="shared" si="3"/>
        <v>408</v>
      </c>
      <c r="BR2">
        <f t="shared" si="3"/>
        <v>414</v>
      </c>
      <c r="BS2">
        <f t="shared" si="3"/>
        <v>420</v>
      </c>
      <c r="BT2">
        <f t="shared" si="3"/>
        <v>426</v>
      </c>
      <c r="BU2">
        <f t="shared" si="3"/>
        <v>432</v>
      </c>
      <c r="BV2">
        <f>BU2+3</f>
        <v>435</v>
      </c>
      <c r="BW2">
        <f t="shared" ref="BW2:CV2" si="4">BV2+3</f>
        <v>438</v>
      </c>
      <c r="BX2">
        <f t="shared" si="4"/>
        <v>441</v>
      </c>
      <c r="BY2">
        <f t="shared" si="4"/>
        <v>444</v>
      </c>
      <c r="BZ2">
        <f t="shared" si="4"/>
        <v>447</v>
      </c>
      <c r="CA2">
        <f t="shared" si="4"/>
        <v>450</v>
      </c>
      <c r="CB2">
        <f t="shared" si="4"/>
        <v>453</v>
      </c>
      <c r="CC2">
        <f t="shared" si="4"/>
        <v>456</v>
      </c>
      <c r="CD2">
        <f t="shared" si="4"/>
        <v>459</v>
      </c>
      <c r="CE2">
        <f t="shared" si="4"/>
        <v>462</v>
      </c>
      <c r="CF2">
        <f t="shared" si="4"/>
        <v>465</v>
      </c>
      <c r="CG2">
        <f t="shared" si="4"/>
        <v>468</v>
      </c>
      <c r="CH2">
        <f t="shared" si="4"/>
        <v>471</v>
      </c>
      <c r="CI2">
        <f t="shared" si="4"/>
        <v>474</v>
      </c>
      <c r="CJ2">
        <f t="shared" si="4"/>
        <v>477</v>
      </c>
      <c r="CK2">
        <f t="shared" si="4"/>
        <v>480</v>
      </c>
      <c r="CL2">
        <f t="shared" si="4"/>
        <v>483</v>
      </c>
      <c r="CM2">
        <f t="shared" si="4"/>
        <v>486</v>
      </c>
      <c r="CN2">
        <f t="shared" si="4"/>
        <v>489</v>
      </c>
      <c r="CO2">
        <f t="shared" si="4"/>
        <v>492</v>
      </c>
      <c r="CP2">
        <f t="shared" si="4"/>
        <v>495</v>
      </c>
      <c r="CQ2">
        <f t="shared" si="4"/>
        <v>498</v>
      </c>
      <c r="CR2">
        <f t="shared" si="4"/>
        <v>501</v>
      </c>
      <c r="CS2">
        <f t="shared" si="4"/>
        <v>504</v>
      </c>
      <c r="CT2">
        <f t="shared" si="4"/>
        <v>507</v>
      </c>
      <c r="CU2">
        <f t="shared" si="4"/>
        <v>510</v>
      </c>
      <c r="CV2">
        <f t="shared" si="4"/>
        <v>513</v>
      </c>
      <c r="CW2" t="s">
        <v>156</v>
      </c>
    </row>
    <row r="3" spans="1:102" x14ac:dyDescent="0.25">
      <c r="A3" t="str">
        <f t="shared" si="2"/>
        <v>characterLife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1450;1460;1470;1480;1490;1500;1510;1520;1530;1540;1550;1560;1570;1580;1590;1600;1610;1620;1630;1640;1650;1660;1670;1680;1690;1700;1710;1720,</v>
      </c>
      <c r="B3" t="s">
        <v>83</v>
      </c>
      <c r="C3">
        <v>40</v>
      </c>
      <c r="D3">
        <v>60</v>
      </c>
      <c r="E3">
        <v>80</v>
      </c>
      <c r="F3">
        <v>100</v>
      </c>
      <c r="G3">
        <v>120</v>
      </c>
      <c r="H3">
        <v>140</v>
      </c>
      <c r="I3">
        <v>160</v>
      </c>
      <c r="J3">
        <v>180</v>
      </c>
      <c r="K3">
        <v>200</v>
      </c>
      <c r="L3">
        <v>220</v>
      </c>
      <c r="M3">
        <v>240</v>
      </c>
      <c r="N3">
        <v>260</v>
      </c>
      <c r="O3">
        <v>280</v>
      </c>
      <c r="P3">
        <v>300</v>
      </c>
      <c r="Q3">
        <v>320</v>
      </c>
      <c r="R3">
        <v>340</v>
      </c>
      <c r="S3">
        <v>360</v>
      </c>
      <c r="T3">
        <v>380</v>
      </c>
      <c r="U3">
        <v>400</v>
      </c>
      <c r="V3">
        <v>420</v>
      </c>
      <c r="W3">
        <v>440</v>
      </c>
      <c r="X3">
        <v>460</v>
      </c>
      <c r="Y3">
        <v>480</v>
      </c>
      <c r="Z3">
        <v>500</v>
      </c>
      <c r="AA3">
        <v>520</v>
      </c>
      <c r="AB3">
        <v>540</v>
      </c>
      <c r="AC3">
        <v>560</v>
      </c>
      <c r="AD3">
        <v>580</v>
      </c>
      <c r="AE3">
        <v>600</v>
      </c>
      <c r="AF3">
        <v>620</v>
      </c>
      <c r="AG3">
        <v>640</v>
      </c>
      <c r="AH3">
        <v>660</v>
      </c>
      <c r="AI3">
        <v>680</v>
      </c>
      <c r="AJ3">
        <v>700</v>
      </c>
      <c r="AK3">
        <v>720</v>
      </c>
      <c r="AL3">
        <v>740</v>
      </c>
      <c r="AM3">
        <v>760</v>
      </c>
      <c r="AN3">
        <v>780</v>
      </c>
      <c r="AO3">
        <v>800</v>
      </c>
      <c r="AP3">
        <v>820</v>
      </c>
      <c r="AQ3">
        <v>840</v>
      </c>
      <c r="AR3">
        <v>860</v>
      </c>
      <c r="AS3">
        <v>880</v>
      </c>
      <c r="AT3">
        <v>900</v>
      </c>
      <c r="AU3">
        <v>920</v>
      </c>
      <c r="AV3">
        <v>940</v>
      </c>
      <c r="AW3">
        <v>960</v>
      </c>
      <c r="AX3">
        <v>980</v>
      </c>
      <c r="AY3">
        <v>1000</v>
      </c>
      <c r="AZ3">
        <f>AY3+20</f>
        <v>1020</v>
      </c>
      <c r="BA3">
        <f t="shared" ref="BA3:BU3" si="5">AZ3+20</f>
        <v>1040</v>
      </c>
      <c r="BB3">
        <f t="shared" si="5"/>
        <v>1060</v>
      </c>
      <c r="BC3">
        <f t="shared" si="5"/>
        <v>1080</v>
      </c>
      <c r="BD3">
        <f t="shared" si="5"/>
        <v>1100</v>
      </c>
      <c r="BE3">
        <f t="shared" si="5"/>
        <v>1120</v>
      </c>
      <c r="BF3">
        <f t="shared" si="5"/>
        <v>1140</v>
      </c>
      <c r="BG3">
        <f t="shared" si="5"/>
        <v>1160</v>
      </c>
      <c r="BH3">
        <f t="shared" si="5"/>
        <v>1180</v>
      </c>
      <c r="BI3">
        <f t="shared" si="5"/>
        <v>1200</v>
      </c>
      <c r="BJ3">
        <f t="shared" si="5"/>
        <v>1220</v>
      </c>
      <c r="BK3">
        <f t="shared" si="5"/>
        <v>1240</v>
      </c>
      <c r="BL3">
        <f t="shared" si="5"/>
        <v>1260</v>
      </c>
      <c r="BM3">
        <f t="shared" si="5"/>
        <v>1280</v>
      </c>
      <c r="BN3">
        <f t="shared" si="5"/>
        <v>1300</v>
      </c>
      <c r="BO3">
        <f t="shared" si="5"/>
        <v>1320</v>
      </c>
      <c r="BP3">
        <f t="shared" si="5"/>
        <v>1340</v>
      </c>
      <c r="BQ3">
        <f t="shared" si="5"/>
        <v>1360</v>
      </c>
      <c r="BR3">
        <f t="shared" si="5"/>
        <v>1380</v>
      </c>
      <c r="BS3">
        <f t="shared" si="5"/>
        <v>1400</v>
      </c>
      <c r="BT3">
        <f t="shared" si="5"/>
        <v>1420</v>
      </c>
      <c r="BU3">
        <f t="shared" si="5"/>
        <v>1440</v>
      </c>
      <c r="BV3">
        <f>BU3+10</f>
        <v>1450</v>
      </c>
      <c r="BW3">
        <f t="shared" ref="BW3:CV3" si="6">BV3+10</f>
        <v>1460</v>
      </c>
      <c r="BX3">
        <f t="shared" si="6"/>
        <v>1470</v>
      </c>
      <c r="BY3">
        <f t="shared" si="6"/>
        <v>1480</v>
      </c>
      <c r="BZ3">
        <f t="shared" si="6"/>
        <v>1490</v>
      </c>
      <c r="CA3">
        <f t="shared" si="6"/>
        <v>1500</v>
      </c>
      <c r="CB3">
        <f t="shared" si="6"/>
        <v>1510</v>
      </c>
      <c r="CC3">
        <f t="shared" si="6"/>
        <v>1520</v>
      </c>
      <c r="CD3">
        <f t="shared" si="6"/>
        <v>1530</v>
      </c>
      <c r="CE3">
        <f t="shared" si="6"/>
        <v>1540</v>
      </c>
      <c r="CF3">
        <f t="shared" si="6"/>
        <v>1550</v>
      </c>
      <c r="CG3">
        <f t="shared" si="6"/>
        <v>1560</v>
      </c>
      <c r="CH3">
        <f t="shared" si="6"/>
        <v>1570</v>
      </c>
      <c r="CI3">
        <f t="shared" si="6"/>
        <v>1580</v>
      </c>
      <c r="CJ3">
        <f t="shared" si="6"/>
        <v>1590</v>
      </c>
      <c r="CK3">
        <f t="shared" si="6"/>
        <v>1600</v>
      </c>
      <c r="CL3">
        <f t="shared" si="6"/>
        <v>1610</v>
      </c>
      <c r="CM3">
        <f t="shared" si="6"/>
        <v>1620</v>
      </c>
      <c r="CN3">
        <f t="shared" si="6"/>
        <v>1630</v>
      </c>
      <c r="CO3">
        <f t="shared" si="6"/>
        <v>1640</v>
      </c>
      <c r="CP3">
        <f t="shared" si="6"/>
        <v>1650</v>
      </c>
      <c r="CQ3">
        <f t="shared" si="6"/>
        <v>1660</v>
      </c>
      <c r="CR3">
        <f t="shared" si="6"/>
        <v>1670</v>
      </c>
      <c r="CS3">
        <f t="shared" si="6"/>
        <v>1680</v>
      </c>
      <c r="CT3">
        <f t="shared" si="6"/>
        <v>1690</v>
      </c>
      <c r="CU3">
        <f t="shared" si="6"/>
        <v>1700</v>
      </c>
      <c r="CV3">
        <f t="shared" si="6"/>
        <v>1710</v>
      </c>
      <c r="CW3" t="s">
        <v>157</v>
      </c>
    </row>
    <row r="4" spans="1:102" x14ac:dyDescent="0.25">
      <c r="A4" t="str">
        <f t="shared" si="2"/>
        <v>characterMana,16.000000;32;48;64;80;96;112;128;144;160;176;192;208;224;240;256;272;288;304;320;336;352;368;384;400;416;432;448;464;480;496;512;528;544;560;576;592;608;624;640;656;672;688;704;720;736;752;768;784;800;826;852;878;904;930;956;982;1008;1034;1060;1086;1112;1138;1164;1190;1216;1242;1268;1294;1320;1346;1372;1385;1398;1411;1424;1437;1450;1463;1476;1489;1502;1515;1528;1541;1554;1567;1580;1593;1606;1619;1632;1645;1658;1671;1684;1697;1710;1723;1736,</v>
      </c>
      <c r="B4" t="s">
        <v>54</v>
      </c>
      <c r="C4">
        <v>32</v>
      </c>
      <c r="D4">
        <v>48</v>
      </c>
      <c r="E4">
        <v>64</v>
      </c>
      <c r="F4">
        <v>80</v>
      </c>
      <c r="G4">
        <v>96</v>
      </c>
      <c r="H4">
        <v>112</v>
      </c>
      <c r="I4">
        <v>128</v>
      </c>
      <c r="J4">
        <v>144</v>
      </c>
      <c r="K4">
        <v>160</v>
      </c>
      <c r="L4">
        <v>176</v>
      </c>
      <c r="M4">
        <v>192</v>
      </c>
      <c r="N4">
        <v>208</v>
      </c>
      <c r="O4">
        <v>224</v>
      </c>
      <c r="P4">
        <v>240</v>
      </c>
      <c r="Q4">
        <v>256</v>
      </c>
      <c r="R4">
        <v>272</v>
      </c>
      <c r="S4">
        <v>288</v>
      </c>
      <c r="T4">
        <v>304</v>
      </c>
      <c r="U4">
        <v>320</v>
      </c>
      <c r="V4">
        <v>336</v>
      </c>
      <c r="W4">
        <v>352</v>
      </c>
      <c r="X4">
        <v>368</v>
      </c>
      <c r="Y4">
        <v>384</v>
      </c>
      <c r="Z4">
        <v>400</v>
      </c>
      <c r="AA4">
        <v>416</v>
      </c>
      <c r="AB4">
        <v>432</v>
      </c>
      <c r="AC4">
        <v>448</v>
      </c>
      <c r="AD4">
        <v>464</v>
      </c>
      <c r="AE4">
        <v>480</v>
      </c>
      <c r="AF4">
        <v>496</v>
      </c>
      <c r="AG4">
        <v>512</v>
      </c>
      <c r="AH4">
        <v>528</v>
      </c>
      <c r="AI4">
        <v>544</v>
      </c>
      <c r="AJ4">
        <v>560</v>
      </c>
      <c r="AK4">
        <v>576</v>
      </c>
      <c r="AL4">
        <v>592</v>
      </c>
      <c r="AM4">
        <v>608</v>
      </c>
      <c r="AN4">
        <v>624</v>
      </c>
      <c r="AO4">
        <v>640</v>
      </c>
      <c r="AP4">
        <v>656</v>
      </c>
      <c r="AQ4">
        <v>672</v>
      </c>
      <c r="AR4">
        <v>688</v>
      </c>
      <c r="AS4">
        <v>704</v>
      </c>
      <c r="AT4">
        <v>720</v>
      </c>
      <c r="AU4">
        <v>736</v>
      </c>
      <c r="AV4">
        <v>752</v>
      </c>
      <c r="AW4">
        <v>768</v>
      </c>
      <c r="AX4">
        <v>784</v>
      </c>
      <c r="AY4">
        <v>800</v>
      </c>
      <c r="AZ4">
        <f>AY4+26</f>
        <v>826</v>
      </c>
      <c r="BA4">
        <f t="shared" ref="BA4:BU4" si="7">AZ4+26</f>
        <v>852</v>
      </c>
      <c r="BB4">
        <f t="shared" si="7"/>
        <v>878</v>
      </c>
      <c r="BC4">
        <f t="shared" si="7"/>
        <v>904</v>
      </c>
      <c r="BD4">
        <f t="shared" si="7"/>
        <v>930</v>
      </c>
      <c r="BE4">
        <f t="shared" si="7"/>
        <v>956</v>
      </c>
      <c r="BF4">
        <f t="shared" si="7"/>
        <v>982</v>
      </c>
      <c r="BG4">
        <f t="shared" si="7"/>
        <v>1008</v>
      </c>
      <c r="BH4">
        <f t="shared" si="7"/>
        <v>1034</v>
      </c>
      <c r="BI4">
        <f t="shared" si="7"/>
        <v>1060</v>
      </c>
      <c r="BJ4">
        <f t="shared" si="7"/>
        <v>1086</v>
      </c>
      <c r="BK4">
        <f t="shared" si="7"/>
        <v>1112</v>
      </c>
      <c r="BL4">
        <f t="shared" si="7"/>
        <v>1138</v>
      </c>
      <c r="BM4">
        <f t="shared" si="7"/>
        <v>1164</v>
      </c>
      <c r="BN4">
        <f t="shared" si="7"/>
        <v>1190</v>
      </c>
      <c r="BO4">
        <f t="shared" si="7"/>
        <v>1216</v>
      </c>
      <c r="BP4">
        <f t="shared" si="7"/>
        <v>1242</v>
      </c>
      <c r="BQ4">
        <f t="shared" si="7"/>
        <v>1268</v>
      </c>
      <c r="BR4">
        <f t="shared" si="7"/>
        <v>1294</v>
      </c>
      <c r="BS4">
        <f t="shared" si="7"/>
        <v>1320</v>
      </c>
      <c r="BT4">
        <f t="shared" si="7"/>
        <v>1346</v>
      </c>
      <c r="BU4">
        <f t="shared" si="7"/>
        <v>1372</v>
      </c>
      <c r="BV4">
        <f>BU4+13</f>
        <v>1385</v>
      </c>
      <c r="BW4">
        <f t="shared" ref="BW4:CV4" si="8">BV4+13</f>
        <v>1398</v>
      </c>
      <c r="BX4">
        <f t="shared" si="8"/>
        <v>1411</v>
      </c>
      <c r="BY4">
        <f t="shared" si="8"/>
        <v>1424</v>
      </c>
      <c r="BZ4">
        <f t="shared" si="8"/>
        <v>1437</v>
      </c>
      <c r="CA4">
        <f t="shared" si="8"/>
        <v>1450</v>
      </c>
      <c r="CB4">
        <f t="shared" si="8"/>
        <v>1463</v>
      </c>
      <c r="CC4">
        <f t="shared" si="8"/>
        <v>1476</v>
      </c>
      <c r="CD4">
        <f t="shared" si="8"/>
        <v>1489</v>
      </c>
      <c r="CE4">
        <f t="shared" si="8"/>
        <v>1502</v>
      </c>
      <c r="CF4">
        <f t="shared" si="8"/>
        <v>1515</v>
      </c>
      <c r="CG4">
        <f t="shared" si="8"/>
        <v>1528</v>
      </c>
      <c r="CH4">
        <f t="shared" si="8"/>
        <v>1541</v>
      </c>
      <c r="CI4">
        <f t="shared" si="8"/>
        <v>1554</v>
      </c>
      <c r="CJ4">
        <f t="shared" si="8"/>
        <v>1567</v>
      </c>
      <c r="CK4">
        <f t="shared" si="8"/>
        <v>1580</v>
      </c>
      <c r="CL4">
        <f t="shared" si="8"/>
        <v>1593</v>
      </c>
      <c r="CM4">
        <f t="shared" si="8"/>
        <v>1606</v>
      </c>
      <c r="CN4">
        <f t="shared" si="8"/>
        <v>1619</v>
      </c>
      <c r="CO4">
        <f t="shared" si="8"/>
        <v>1632</v>
      </c>
      <c r="CP4">
        <f t="shared" si="8"/>
        <v>1645</v>
      </c>
      <c r="CQ4">
        <f t="shared" si="8"/>
        <v>1658</v>
      </c>
      <c r="CR4">
        <f t="shared" si="8"/>
        <v>1671</v>
      </c>
      <c r="CS4">
        <f t="shared" si="8"/>
        <v>1684</v>
      </c>
      <c r="CT4">
        <f t="shared" si="8"/>
        <v>1697</v>
      </c>
      <c r="CU4">
        <f t="shared" si="8"/>
        <v>1710</v>
      </c>
      <c r="CV4">
        <f t="shared" si="8"/>
        <v>1723</v>
      </c>
      <c r="CW4" t="s">
        <v>158</v>
      </c>
    </row>
    <row r="5" spans="1:102" x14ac:dyDescent="0.25">
      <c r="A5" t="str">
        <f t="shared" si="2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5" t="s">
        <v>56</v>
      </c>
      <c r="C5">
        <v>6</v>
      </c>
      <c r="D5">
        <v>9</v>
      </c>
      <c r="E5">
        <v>12</v>
      </c>
      <c r="F5">
        <v>15</v>
      </c>
      <c r="G5">
        <v>18</v>
      </c>
      <c r="H5">
        <v>21</v>
      </c>
      <c r="I5">
        <v>24</v>
      </c>
      <c r="J5">
        <v>27</v>
      </c>
      <c r="K5">
        <v>30</v>
      </c>
      <c r="L5">
        <v>33</v>
      </c>
      <c r="M5">
        <v>36</v>
      </c>
      <c r="N5">
        <v>39</v>
      </c>
      <c r="O5">
        <v>42</v>
      </c>
      <c r="P5">
        <v>45</v>
      </c>
      <c r="Q5">
        <v>48</v>
      </c>
      <c r="R5">
        <v>51</v>
      </c>
      <c r="S5">
        <v>54</v>
      </c>
      <c r="T5">
        <v>57</v>
      </c>
      <c r="U5">
        <v>60</v>
      </c>
      <c r="V5">
        <v>63</v>
      </c>
      <c r="W5">
        <v>66</v>
      </c>
      <c r="X5">
        <v>69</v>
      </c>
      <c r="Y5">
        <v>72</v>
      </c>
      <c r="Z5">
        <v>75</v>
      </c>
      <c r="AA5">
        <v>78</v>
      </c>
      <c r="AB5">
        <v>81</v>
      </c>
      <c r="AC5">
        <v>84</v>
      </c>
      <c r="AD5">
        <v>87</v>
      </c>
      <c r="AE5">
        <v>90</v>
      </c>
      <c r="AF5">
        <v>93</v>
      </c>
      <c r="AG5">
        <v>96</v>
      </c>
      <c r="AH5">
        <v>99</v>
      </c>
      <c r="AI5">
        <v>102</v>
      </c>
      <c r="AJ5">
        <v>105</v>
      </c>
      <c r="AK5">
        <v>108</v>
      </c>
      <c r="AL5">
        <v>111</v>
      </c>
      <c r="AM5">
        <v>114</v>
      </c>
      <c r="AN5">
        <v>117</v>
      </c>
      <c r="AO5">
        <v>120</v>
      </c>
      <c r="AP5">
        <v>123</v>
      </c>
      <c r="AQ5">
        <v>126</v>
      </c>
      <c r="AR5">
        <v>129</v>
      </c>
      <c r="AS5">
        <v>132</v>
      </c>
      <c r="AT5">
        <v>135</v>
      </c>
      <c r="AU5">
        <v>138</v>
      </c>
      <c r="AV5">
        <v>141</v>
      </c>
      <c r="AW5">
        <v>144</v>
      </c>
      <c r="AX5">
        <v>147</v>
      </c>
      <c r="AY5">
        <v>150</v>
      </c>
      <c r="AZ5">
        <f>AY5+3</f>
        <v>153</v>
      </c>
      <c r="BA5">
        <f t="shared" ref="BA5:BU5" si="9">AZ5+3</f>
        <v>156</v>
      </c>
      <c r="BB5">
        <f t="shared" si="9"/>
        <v>159</v>
      </c>
      <c r="BC5">
        <f t="shared" si="9"/>
        <v>162</v>
      </c>
      <c r="BD5">
        <f t="shared" si="9"/>
        <v>165</v>
      </c>
      <c r="BE5">
        <f t="shared" si="9"/>
        <v>168</v>
      </c>
      <c r="BF5">
        <f t="shared" si="9"/>
        <v>171</v>
      </c>
      <c r="BG5">
        <f t="shared" si="9"/>
        <v>174</v>
      </c>
      <c r="BH5">
        <f t="shared" si="9"/>
        <v>177</v>
      </c>
      <c r="BI5">
        <f t="shared" si="9"/>
        <v>180</v>
      </c>
      <c r="BJ5">
        <f t="shared" si="9"/>
        <v>183</v>
      </c>
      <c r="BK5">
        <f t="shared" si="9"/>
        <v>186</v>
      </c>
      <c r="BL5">
        <f t="shared" si="9"/>
        <v>189</v>
      </c>
      <c r="BM5">
        <f t="shared" si="9"/>
        <v>192</v>
      </c>
      <c r="BN5">
        <f t="shared" si="9"/>
        <v>195</v>
      </c>
      <c r="BO5">
        <f t="shared" si="9"/>
        <v>198</v>
      </c>
      <c r="BP5">
        <f t="shared" si="9"/>
        <v>201</v>
      </c>
      <c r="BQ5">
        <f t="shared" si="9"/>
        <v>204</v>
      </c>
      <c r="BR5">
        <f t="shared" si="9"/>
        <v>207</v>
      </c>
      <c r="BS5">
        <f t="shared" si="9"/>
        <v>210</v>
      </c>
      <c r="BT5">
        <f t="shared" si="9"/>
        <v>213</v>
      </c>
      <c r="BU5">
        <f t="shared" si="9"/>
        <v>216</v>
      </c>
      <c r="BV5">
        <f>BU5+1.5</f>
        <v>217.5</v>
      </c>
      <c r="BW5">
        <f t="shared" ref="BW5:CV5" si="10">BV5+1.5</f>
        <v>219</v>
      </c>
      <c r="BX5">
        <f t="shared" si="10"/>
        <v>220.5</v>
      </c>
      <c r="BY5">
        <f t="shared" si="10"/>
        <v>222</v>
      </c>
      <c r="BZ5">
        <f t="shared" si="10"/>
        <v>223.5</v>
      </c>
      <c r="CA5">
        <f t="shared" si="10"/>
        <v>225</v>
      </c>
      <c r="CB5">
        <f t="shared" si="10"/>
        <v>226.5</v>
      </c>
      <c r="CC5">
        <f t="shared" si="10"/>
        <v>228</v>
      </c>
      <c r="CD5">
        <f t="shared" si="10"/>
        <v>229.5</v>
      </c>
      <c r="CE5">
        <f t="shared" si="10"/>
        <v>231</v>
      </c>
      <c r="CF5">
        <f t="shared" si="10"/>
        <v>232.5</v>
      </c>
      <c r="CG5">
        <f t="shared" si="10"/>
        <v>234</v>
      </c>
      <c r="CH5">
        <f t="shared" si="10"/>
        <v>235.5</v>
      </c>
      <c r="CI5">
        <f t="shared" si="10"/>
        <v>237</v>
      </c>
      <c r="CJ5">
        <f t="shared" si="10"/>
        <v>238.5</v>
      </c>
      <c r="CK5">
        <f t="shared" si="10"/>
        <v>240</v>
      </c>
      <c r="CL5">
        <f t="shared" si="10"/>
        <v>241.5</v>
      </c>
      <c r="CM5">
        <f t="shared" si="10"/>
        <v>243</v>
      </c>
      <c r="CN5">
        <f t="shared" si="10"/>
        <v>244.5</v>
      </c>
      <c r="CO5">
        <f t="shared" si="10"/>
        <v>246</v>
      </c>
      <c r="CP5">
        <f t="shared" si="10"/>
        <v>247.5</v>
      </c>
      <c r="CQ5">
        <f t="shared" si="10"/>
        <v>249</v>
      </c>
      <c r="CR5">
        <f t="shared" si="10"/>
        <v>250.5</v>
      </c>
      <c r="CS5">
        <f t="shared" si="10"/>
        <v>252</v>
      </c>
      <c r="CT5">
        <f t="shared" si="10"/>
        <v>253.5</v>
      </c>
      <c r="CU5">
        <f t="shared" si="10"/>
        <v>255</v>
      </c>
      <c r="CV5">
        <f t="shared" si="10"/>
        <v>256.5</v>
      </c>
      <c r="CW5" t="s">
        <v>155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0.25</v>
      </c>
      <c r="BA6">
        <v>0.5</v>
      </c>
      <c r="BB6">
        <v>0.75</v>
      </c>
      <c r="BC6">
        <v>1</v>
      </c>
      <c r="BD6">
        <v>1.25</v>
      </c>
      <c r="BE6">
        <v>1.5</v>
      </c>
      <c r="BF6">
        <v>1.75</v>
      </c>
      <c r="BG6">
        <v>2</v>
      </c>
      <c r="BH6">
        <v>2.25</v>
      </c>
      <c r="BI6">
        <v>2.5</v>
      </c>
      <c r="BJ6">
        <v>2.75</v>
      </c>
      <c r="BK6">
        <v>3</v>
      </c>
      <c r="BL6">
        <v>3.25</v>
      </c>
      <c r="BM6">
        <v>3.5</v>
      </c>
      <c r="BN6">
        <v>3.75</v>
      </c>
      <c r="BO6">
        <v>4</v>
      </c>
      <c r="BP6">
        <v>4.25</v>
      </c>
      <c r="BQ6">
        <v>4.5</v>
      </c>
      <c r="BR6">
        <v>4.5</v>
      </c>
      <c r="BS6">
        <v>4.75</v>
      </c>
      <c r="BT6">
        <v>4.75</v>
      </c>
      <c r="BU6">
        <v>5</v>
      </c>
      <c r="BV6">
        <v>5.125</v>
      </c>
      <c r="BW6">
        <v>5.25</v>
      </c>
      <c r="BX6">
        <v>5.375</v>
      </c>
      <c r="BY6">
        <v>5.5</v>
      </c>
      <c r="BZ6">
        <v>5.625</v>
      </c>
      <c r="CA6">
        <v>5.75</v>
      </c>
      <c r="CB6">
        <v>5.875</v>
      </c>
      <c r="CC6">
        <v>6</v>
      </c>
      <c r="CD6">
        <v>6.125</v>
      </c>
      <c r="CE6">
        <v>6.25</v>
      </c>
      <c r="CF6">
        <v>6.375</v>
      </c>
      <c r="CG6">
        <v>6.5</v>
      </c>
      <c r="CH6">
        <v>6.625</v>
      </c>
      <c r="CI6">
        <v>6.75</v>
      </c>
      <c r="CJ6">
        <v>6.875</v>
      </c>
      <c r="CK6">
        <v>7</v>
      </c>
      <c r="CL6">
        <v>7.125</v>
      </c>
      <c r="CM6">
        <v>7.25</v>
      </c>
      <c r="CN6">
        <v>7.375</v>
      </c>
      <c r="CO6">
        <v>7.5</v>
      </c>
      <c r="CP6">
        <v>7.625</v>
      </c>
      <c r="CQ6">
        <v>7.75</v>
      </c>
      <c r="CR6">
        <v>7.875</v>
      </c>
      <c r="CS6">
        <v>8</v>
      </c>
      <c r="CT6">
        <v>8.125</v>
      </c>
      <c r="CU6">
        <v>8.25</v>
      </c>
      <c r="CV6">
        <v>8.375</v>
      </c>
      <c r="CW6" t="s">
        <v>87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0.25</v>
      </c>
      <c r="BA7">
        <v>0.5</v>
      </c>
      <c r="BB7">
        <v>0.75</v>
      </c>
      <c r="BC7">
        <v>1</v>
      </c>
      <c r="BD7">
        <v>1.25</v>
      </c>
      <c r="BE7">
        <v>1.5</v>
      </c>
      <c r="BF7">
        <v>1.75</v>
      </c>
      <c r="BG7">
        <v>2</v>
      </c>
      <c r="BH7">
        <v>2.25</v>
      </c>
      <c r="BI7">
        <v>2.5</v>
      </c>
      <c r="BJ7">
        <v>2.75</v>
      </c>
      <c r="BK7">
        <v>3</v>
      </c>
      <c r="BL7">
        <v>3.25</v>
      </c>
      <c r="BM7">
        <v>3.5</v>
      </c>
      <c r="BN7">
        <v>3.75</v>
      </c>
      <c r="BO7">
        <v>4</v>
      </c>
      <c r="BP7">
        <v>4.25</v>
      </c>
      <c r="BQ7">
        <v>4.5</v>
      </c>
      <c r="BR7">
        <v>4.5</v>
      </c>
      <c r="BS7">
        <v>4.75</v>
      </c>
      <c r="BT7">
        <v>4.75</v>
      </c>
      <c r="BU7">
        <v>5</v>
      </c>
      <c r="BV7">
        <v>5.125</v>
      </c>
      <c r="BW7">
        <v>5.25</v>
      </c>
      <c r="BX7">
        <v>5.375</v>
      </c>
      <c r="BY7">
        <v>5.5</v>
      </c>
      <c r="BZ7">
        <v>5.625</v>
      </c>
      <c r="CA7">
        <v>5.75</v>
      </c>
      <c r="CB7">
        <v>5.875</v>
      </c>
      <c r="CC7">
        <v>6</v>
      </c>
      <c r="CD7">
        <v>6.125</v>
      </c>
      <c r="CE7">
        <v>6.25</v>
      </c>
      <c r="CF7">
        <v>6.375</v>
      </c>
      <c r="CG7">
        <v>6.5</v>
      </c>
      <c r="CH7">
        <v>6.625</v>
      </c>
      <c r="CI7">
        <v>6.75</v>
      </c>
      <c r="CJ7">
        <v>6.875</v>
      </c>
      <c r="CK7">
        <v>7</v>
      </c>
      <c r="CL7">
        <v>7.125</v>
      </c>
      <c r="CM7">
        <v>7.25</v>
      </c>
      <c r="CN7">
        <v>7.375</v>
      </c>
      <c r="CO7">
        <v>7.5</v>
      </c>
      <c r="CP7">
        <v>7.625</v>
      </c>
      <c r="CQ7">
        <v>7.75</v>
      </c>
      <c r="CR7">
        <v>7.875</v>
      </c>
      <c r="CS7">
        <v>8</v>
      </c>
      <c r="CT7">
        <v>8.125</v>
      </c>
      <c r="CU7">
        <v>8.25</v>
      </c>
      <c r="CV7">
        <v>8.375</v>
      </c>
      <c r="CW7" t="s">
        <v>87</v>
      </c>
    </row>
    <row r="8" spans="1:102" x14ac:dyDescent="0.25">
      <c r="A8" t="str">
        <f t="shared" si="2"/>
        <v>characterLife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8" t="s">
        <v>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0.25</v>
      </c>
      <c r="BA8">
        <v>0.5</v>
      </c>
      <c r="BB8">
        <v>0.75</v>
      </c>
      <c r="BC8">
        <v>1</v>
      </c>
      <c r="BD8">
        <v>1.25</v>
      </c>
      <c r="BE8">
        <v>1.5</v>
      </c>
      <c r="BF8">
        <v>1.75</v>
      </c>
      <c r="BG8">
        <v>2</v>
      </c>
      <c r="BH8">
        <v>2.25</v>
      </c>
      <c r="BI8">
        <v>2.5</v>
      </c>
      <c r="BJ8">
        <v>2.75</v>
      </c>
      <c r="BK8">
        <v>3</v>
      </c>
      <c r="BL8">
        <v>3.25</v>
      </c>
      <c r="BM8">
        <v>3.5</v>
      </c>
      <c r="BN8">
        <v>3.75</v>
      </c>
      <c r="BO8">
        <v>4</v>
      </c>
      <c r="BP8">
        <v>4.25</v>
      </c>
      <c r="BQ8">
        <v>4.5</v>
      </c>
      <c r="BR8">
        <v>4.5</v>
      </c>
      <c r="BS8">
        <v>4.75</v>
      </c>
      <c r="BT8">
        <v>4.75</v>
      </c>
      <c r="BU8">
        <v>5</v>
      </c>
      <c r="BV8">
        <v>5.125</v>
      </c>
      <c r="BW8">
        <v>5.25</v>
      </c>
      <c r="BX8">
        <v>5.375</v>
      </c>
      <c r="BY8">
        <v>5.5</v>
      </c>
      <c r="BZ8">
        <v>5.625</v>
      </c>
      <c r="CA8">
        <v>5.75</v>
      </c>
      <c r="CB8">
        <v>5.875</v>
      </c>
      <c r="CC8">
        <v>6</v>
      </c>
      <c r="CD8">
        <v>6.125</v>
      </c>
      <c r="CE8">
        <v>6.25</v>
      </c>
      <c r="CF8">
        <v>6.375</v>
      </c>
      <c r="CG8">
        <v>6.5</v>
      </c>
      <c r="CH8">
        <v>6.625</v>
      </c>
      <c r="CI8">
        <v>6.75</v>
      </c>
      <c r="CJ8">
        <v>6.875</v>
      </c>
      <c r="CK8">
        <v>7</v>
      </c>
      <c r="CL8">
        <v>7.125</v>
      </c>
      <c r="CM8">
        <v>7.25</v>
      </c>
      <c r="CN8">
        <v>7.375</v>
      </c>
      <c r="CO8">
        <v>7.5</v>
      </c>
      <c r="CP8">
        <v>7.625</v>
      </c>
      <c r="CQ8">
        <v>7.75</v>
      </c>
      <c r="CR8">
        <v>7.875</v>
      </c>
      <c r="CS8">
        <v>8</v>
      </c>
      <c r="CT8">
        <v>8.125</v>
      </c>
      <c r="CU8">
        <v>8.25</v>
      </c>
      <c r="CV8">
        <v>8.375</v>
      </c>
      <c r="CW8" t="s">
        <v>87</v>
      </c>
    </row>
    <row r="9" spans="1:102" x14ac:dyDescent="0.25">
      <c r="A9" t="str">
        <f t="shared" si="2"/>
        <v>characterMana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9" t="s">
        <v>16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0.25</v>
      </c>
      <c r="BA9">
        <v>0.5</v>
      </c>
      <c r="BB9">
        <v>0.75</v>
      </c>
      <c r="BC9">
        <v>1</v>
      </c>
      <c r="BD9">
        <v>1.25</v>
      </c>
      <c r="BE9">
        <v>1.5</v>
      </c>
      <c r="BF9">
        <v>1.75</v>
      </c>
      <c r="BG9">
        <v>2</v>
      </c>
      <c r="BH9">
        <v>2.25</v>
      </c>
      <c r="BI9">
        <v>2.5</v>
      </c>
      <c r="BJ9">
        <v>2.75</v>
      </c>
      <c r="BK9">
        <v>3</v>
      </c>
      <c r="BL9">
        <v>3.25</v>
      </c>
      <c r="BM9">
        <v>3.5</v>
      </c>
      <c r="BN9">
        <v>3.75</v>
      </c>
      <c r="BO9">
        <v>4</v>
      </c>
      <c r="BP9">
        <v>4.25</v>
      </c>
      <c r="BQ9">
        <v>4.5</v>
      </c>
      <c r="BR9">
        <v>4.5</v>
      </c>
      <c r="BS9">
        <v>4.75</v>
      </c>
      <c r="BT9">
        <v>4.75</v>
      </c>
      <c r="BU9">
        <v>5</v>
      </c>
      <c r="BV9">
        <v>5.125</v>
      </c>
      <c r="BW9">
        <v>5.25</v>
      </c>
      <c r="BX9">
        <v>5.375</v>
      </c>
      <c r="BY9">
        <v>5.5</v>
      </c>
      <c r="BZ9">
        <v>5.625</v>
      </c>
      <c r="CA9">
        <v>5.75</v>
      </c>
      <c r="CB9">
        <v>5.875</v>
      </c>
      <c r="CC9">
        <v>6</v>
      </c>
      <c r="CD9">
        <v>6.125</v>
      </c>
      <c r="CE9">
        <v>6.25</v>
      </c>
      <c r="CF9">
        <v>6.375</v>
      </c>
      <c r="CG9">
        <v>6.5</v>
      </c>
      <c r="CH9">
        <v>6.625</v>
      </c>
      <c r="CI9">
        <v>6.75</v>
      </c>
      <c r="CJ9">
        <v>6.875</v>
      </c>
      <c r="CK9">
        <v>7</v>
      </c>
      <c r="CL9">
        <v>7.125</v>
      </c>
      <c r="CM9">
        <v>7.25</v>
      </c>
      <c r="CN9">
        <v>7.375</v>
      </c>
      <c r="CO9">
        <v>7.5</v>
      </c>
      <c r="CP9">
        <v>7.625</v>
      </c>
      <c r="CQ9">
        <v>7.75</v>
      </c>
      <c r="CR9">
        <v>7.875</v>
      </c>
      <c r="CS9">
        <v>8</v>
      </c>
      <c r="CT9">
        <v>8.125</v>
      </c>
      <c r="CU9">
        <v>8.25</v>
      </c>
      <c r="CV9">
        <v>8.375</v>
      </c>
      <c r="CW9" t="s">
        <v>87</v>
      </c>
    </row>
    <row r="10" spans="1:102" x14ac:dyDescent="0.25">
      <c r="A10" t="str">
        <f t="shared" si="2"/>
        <v>characterStrength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0.25</v>
      </c>
      <c r="BA10">
        <v>0.5</v>
      </c>
      <c r="BB10">
        <v>0.75</v>
      </c>
      <c r="BC10">
        <v>1</v>
      </c>
      <c r="BD10">
        <v>1.25</v>
      </c>
      <c r="BE10">
        <v>1.5</v>
      </c>
      <c r="BF10">
        <v>1.75</v>
      </c>
      <c r="BG10">
        <v>2</v>
      </c>
      <c r="BH10">
        <v>2.25</v>
      </c>
      <c r="BI10">
        <v>2.5</v>
      </c>
      <c r="BJ10">
        <v>2.75</v>
      </c>
      <c r="BK10">
        <v>3</v>
      </c>
      <c r="BL10">
        <v>3.25</v>
      </c>
      <c r="BM10">
        <v>3.5</v>
      </c>
      <c r="BN10">
        <v>3.75</v>
      </c>
      <c r="BO10">
        <v>4</v>
      </c>
      <c r="BP10">
        <v>4.25</v>
      </c>
      <c r="BQ10">
        <v>4.5</v>
      </c>
      <c r="BR10">
        <v>4.5</v>
      </c>
      <c r="BS10">
        <v>4.75</v>
      </c>
      <c r="BT10">
        <v>4.75</v>
      </c>
      <c r="BU10">
        <v>5</v>
      </c>
      <c r="BV10">
        <v>5.125</v>
      </c>
      <c r="BW10">
        <v>5.25</v>
      </c>
      <c r="BX10">
        <v>5.375</v>
      </c>
      <c r="BY10">
        <v>5.5</v>
      </c>
      <c r="BZ10">
        <v>5.625</v>
      </c>
      <c r="CA10">
        <v>5.75</v>
      </c>
      <c r="CB10">
        <v>5.875</v>
      </c>
      <c r="CC10">
        <v>6</v>
      </c>
      <c r="CD10">
        <v>6.125</v>
      </c>
      <c r="CE10">
        <v>6.25</v>
      </c>
      <c r="CF10">
        <v>6.375</v>
      </c>
      <c r="CG10">
        <v>6.5</v>
      </c>
      <c r="CH10">
        <v>6.625</v>
      </c>
      <c r="CI10">
        <v>6.75</v>
      </c>
      <c r="CJ10">
        <v>6.875</v>
      </c>
      <c r="CK10">
        <v>7</v>
      </c>
      <c r="CL10">
        <v>7.125</v>
      </c>
      <c r="CM10">
        <v>7.25</v>
      </c>
      <c r="CN10">
        <v>7.375</v>
      </c>
      <c r="CO10">
        <v>7.5</v>
      </c>
      <c r="CP10">
        <v>7.625</v>
      </c>
      <c r="CQ10">
        <v>7.75</v>
      </c>
      <c r="CR10">
        <v>7.875</v>
      </c>
      <c r="CS10">
        <v>8</v>
      </c>
      <c r="CT10">
        <v>8.125</v>
      </c>
      <c r="CU10">
        <v>8.25</v>
      </c>
      <c r="CV10">
        <v>8.375</v>
      </c>
      <c r="CW10" t="s">
        <v>87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X14"/>
  <sheetViews>
    <sheetView workbookViewId="0">
      <selection sqref="A1:A10"/>
    </sheetView>
  </sheetViews>
  <sheetFormatPr defaultRowHeight="15" x14ac:dyDescent="0.25"/>
  <cols>
    <col min="2" max="2" width="40.5703125" bestFit="1" customWidth="1"/>
    <col min="3" max="3" width="3" bestFit="1" customWidth="1"/>
    <col min="4" max="25" width="4" bestFit="1" customWidth="1"/>
    <col min="26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1" t="s">
        <v>71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f>AX1+4</f>
        <v>200</v>
      </c>
      <c r="AZ1">
        <f t="shared" ref="AZ1:BU1" si="0">AY1+4</f>
        <v>204</v>
      </c>
      <c r="BA1">
        <f t="shared" si="0"/>
        <v>208</v>
      </c>
      <c r="BB1">
        <f t="shared" si="0"/>
        <v>212</v>
      </c>
      <c r="BC1">
        <f t="shared" si="0"/>
        <v>216</v>
      </c>
      <c r="BD1">
        <f t="shared" si="0"/>
        <v>220</v>
      </c>
      <c r="BE1">
        <f t="shared" si="0"/>
        <v>224</v>
      </c>
      <c r="BF1">
        <f t="shared" si="0"/>
        <v>228</v>
      </c>
      <c r="BG1">
        <f t="shared" si="0"/>
        <v>232</v>
      </c>
      <c r="BH1">
        <f t="shared" si="0"/>
        <v>236</v>
      </c>
      <c r="BI1">
        <f t="shared" si="0"/>
        <v>240</v>
      </c>
      <c r="BJ1">
        <f t="shared" si="0"/>
        <v>244</v>
      </c>
      <c r="BK1">
        <f t="shared" si="0"/>
        <v>248</v>
      </c>
      <c r="BL1">
        <f t="shared" si="0"/>
        <v>252</v>
      </c>
      <c r="BM1">
        <f t="shared" si="0"/>
        <v>256</v>
      </c>
      <c r="BN1">
        <f t="shared" si="0"/>
        <v>260</v>
      </c>
      <c r="BO1">
        <f t="shared" si="0"/>
        <v>264</v>
      </c>
      <c r="BP1">
        <f t="shared" si="0"/>
        <v>268</v>
      </c>
      <c r="BQ1">
        <f t="shared" si="0"/>
        <v>272</v>
      </c>
      <c r="BR1">
        <f t="shared" si="0"/>
        <v>276</v>
      </c>
      <c r="BS1">
        <f t="shared" si="0"/>
        <v>280</v>
      </c>
      <c r="BT1">
        <f t="shared" si="0"/>
        <v>284</v>
      </c>
      <c r="BU1">
        <f t="shared" si="0"/>
        <v>288</v>
      </c>
      <c r="BV1">
        <f>BU1+2</f>
        <v>290</v>
      </c>
      <c r="BW1">
        <f t="shared" ref="BW1:CV1" si="1">BV1+2</f>
        <v>292</v>
      </c>
      <c r="BX1">
        <f t="shared" si="1"/>
        <v>294</v>
      </c>
      <c r="BY1">
        <f t="shared" si="1"/>
        <v>296</v>
      </c>
      <c r="BZ1">
        <f t="shared" si="1"/>
        <v>298</v>
      </c>
      <c r="CA1">
        <f t="shared" si="1"/>
        <v>300</v>
      </c>
      <c r="CB1">
        <f t="shared" si="1"/>
        <v>302</v>
      </c>
      <c r="CC1">
        <f t="shared" si="1"/>
        <v>304</v>
      </c>
      <c r="CD1">
        <f t="shared" si="1"/>
        <v>306</v>
      </c>
      <c r="CE1">
        <f t="shared" si="1"/>
        <v>308</v>
      </c>
      <c r="CF1">
        <f t="shared" si="1"/>
        <v>310</v>
      </c>
      <c r="CG1">
        <f t="shared" si="1"/>
        <v>312</v>
      </c>
      <c r="CH1">
        <f t="shared" si="1"/>
        <v>314</v>
      </c>
      <c r="CI1">
        <f t="shared" si="1"/>
        <v>316</v>
      </c>
      <c r="CJ1">
        <f t="shared" si="1"/>
        <v>318</v>
      </c>
      <c r="CK1">
        <f t="shared" si="1"/>
        <v>320</v>
      </c>
      <c r="CL1">
        <f t="shared" si="1"/>
        <v>322</v>
      </c>
      <c r="CM1">
        <f t="shared" si="1"/>
        <v>324</v>
      </c>
      <c r="CN1">
        <f t="shared" si="1"/>
        <v>326</v>
      </c>
      <c r="CO1">
        <f t="shared" si="1"/>
        <v>328</v>
      </c>
      <c r="CP1">
        <f t="shared" si="1"/>
        <v>330</v>
      </c>
      <c r="CQ1">
        <f t="shared" si="1"/>
        <v>332</v>
      </c>
      <c r="CR1">
        <f t="shared" si="1"/>
        <v>334</v>
      </c>
      <c r="CS1">
        <f t="shared" si="1"/>
        <v>336</v>
      </c>
      <c r="CT1">
        <f t="shared" si="1"/>
        <v>338</v>
      </c>
      <c r="CU1">
        <f t="shared" si="1"/>
        <v>340</v>
      </c>
      <c r="CV1">
        <f t="shared" si="1"/>
        <v>342</v>
      </c>
      <c r="CW1" t="s">
        <v>153</v>
      </c>
    </row>
    <row r="2" spans="1:102" x14ac:dyDescent="0.25">
      <c r="A2" t="str">
        <f t="shared" ref="A2:A10" si="2">combine(B2:CW2)</f>
        <v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v>
      </c>
      <c r="B2" t="s">
        <v>62</v>
      </c>
      <c r="C2">
        <v>3</v>
      </c>
      <c r="D2">
        <v>4</v>
      </c>
      <c r="E2">
        <v>6</v>
      </c>
      <c r="F2">
        <v>8</v>
      </c>
      <c r="G2">
        <v>9</v>
      </c>
      <c r="H2">
        <v>10</v>
      </c>
      <c r="I2">
        <v>12</v>
      </c>
      <c r="J2">
        <v>14</v>
      </c>
      <c r="K2">
        <v>15</v>
      </c>
      <c r="L2">
        <v>16</v>
      </c>
      <c r="M2">
        <v>18</v>
      </c>
      <c r="N2">
        <v>20</v>
      </c>
      <c r="O2">
        <v>21</v>
      </c>
      <c r="P2">
        <v>22</v>
      </c>
      <c r="Q2">
        <v>24</v>
      </c>
      <c r="R2">
        <v>26</v>
      </c>
      <c r="S2">
        <v>27</v>
      </c>
      <c r="T2">
        <v>28</v>
      </c>
      <c r="U2">
        <v>30</v>
      </c>
      <c r="V2">
        <v>32</v>
      </c>
      <c r="W2">
        <v>33</v>
      </c>
      <c r="X2">
        <v>34</v>
      </c>
      <c r="Y2">
        <v>36</v>
      </c>
      <c r="Z2">
        <v>38</v>
      </c>
      <c r="AA2">
        <v>39</v>
      </c>
      <c r="AB2">
        <v>40</v>
      </c>
      <c r="AC2">
        <v>42</v>
      </c>
      <c r="AD2">
        <v>44</v>
      </c>
      <c r="AE2">
        <v>45</v>
      </c>
      <c r="AF2">
        <v>46</v>
      </c>
      <c r="AG2">
        <v>48</v>
      </c>
      <c r="AH2">
        <v>50</v>
      </c>
      <c r="AI2">
        <v>51</v>
      </c>
      <c r="AJ2">
        <v>52</v>
      </c>
      <c r="AK2">
        <v>54</v>
      </c>
      <c r="AL2">
        <v>56</v>
      </c>
      <c r="AM2">
        <v>57</v>
      </c>
      <c r="AN2">
        <v>58</v>
      </c>
      <c r="AO2">
        <v>60</v>
      </c>
      <c r="AP2">
        <v>62</v>
      </c>
      <c r="AQ2">
        <v>63</v>
      </c>
      <c r="AR2">
        <v>64</v>
      </c>
      <c r="AS2">
        <v>66</v>
      </c>
      <c r="AT2">
        <v>68</v>
      </c>
      <c r="AU2">
        <v>69</v>
      </c>
      <c r="AV2">
        <v>70</v>
      </c>
      <c r="AW2">
        <v>72</v>
      </c>
      <c r="AX2">
        <v>74</v>
      </c>
      <c r="AY2">
        <f>AX2+1</f>
        <v>75</v>
      </c>
      <c r="AZ2">
        <f t="shared" ref="AZ2:BU2" si="3">AY2+1</f>
        <v>76</v>
      </c>
      <c r="BA2">
        <f t="shared" si="3"/>
        <v>77</v>
      </c>
      <c r="BB2">
        <f t="shared" si="3"/>
        <v>78</v>
      </c>
      <c r="BC2">
        <f t="shared" si="3"/>
        <v>79</v>
      </c>
      <c r="BD2">
        <f t="shared" si="3"/>
        <v>80</v>
      </c>
      <c r="BE2">
        <f t="shared" si="3"/>
        <v>81</v>
      </c>
      <c r="BF2">
        <f t="shared" si="3"/>
        <v>82</v>
      </c>
      <c r="BG2">
        <f t="shared" si="3"/>
        <v>83</v>
      </c>
      <c r="BH2">
        <f t="shared" si="3"/>
        <v>84</v>
      </c>
      <c r="BI2">
        <f t="shared" si="3"/>
        <v>85</v>
      </c>
      <c r="BJ2">
        <f t="shared" si="3"/>
        <v>86</v>
      </c>
      <c r="BK2">
        <f t="shared" si="3"/>
        <v>87</v>
      </c>
      <c r="BL2">
        <f t="shared" si="3"/>
        <v>88</v>
      </c>
      <c r="BM2">
        <f t="shared" si="3"/>
        <v>89</v>
      </c>
      <c r="BN2">
        <f t="shared" si="3"/>
        <v>90</v>
      </c>
      <c r="BO2">
        <f t="shared" si="3"/>
        <v>91</v>
      </c>
      <c r="BP2">
        <f t="shared" si="3"/>
        <v>92</v>
      </c>
      <c r="BQ2">
        <f t="shared" si="3"/>
        <v>93</v>
      </c>
      <c r="BR2">
        <f t="shared" si="3"/>
        <v>94</v>
      </c>
      <c r="BS2">
        <f t="shared" si="3"/>
        <v>95</v>
      </c>
      <c r="BT2">
        <f t="shared" si="3"/>
        <v>96</v>
      </c>
      <c r="BU2">
        <f t="shared" si="3"/>
        <v>97</v>
      </c>
      <c r="BV2">
        <f>BU2+0.5</f>
        <v>97.5</v>
      </c>
      <c r="BW2">
        <f t="shared" ref="BW2:CV2" si="4">BV2+0.5</f>
        <v>98</v>
      </c>
      <c r="BX2">
        <f t="shared" si="4"/>
        <v>98.5</v>
      </c>
      <c r="BY2">
        <f t="shared" si="4"/>
        <v>99</v>
      </c>
      <c r="BZ2">
        <f t="shared" si="4"/>
        <v>99.5</v>
      </c>
      <c r="CA2">
        <f t="shared" si="4"/>
        <v>100</v>
      </c>
      <c r="CB2">
        <f t="shared" si="4"/>
        <v>100.5</v>
      </c>
      <c r="CC2">
        <f t="shared" si="4"/>
        <v>101</v>
      </c>
      <c r="CD2">
        <f t="shared" si="4"/>
        <v>101.5</v>
      </c>
      <c r="CE2">
        <f t="shared" si="4"/>
        <v>102</v>
      </c>
      <c r="CF2">
        <f t="shared" si="4"/>
        <v>102.5</v>
      </c>
      <c r="CG2">
        <f t="shared" si="4"/>
        <v>103</v>
      </c>
      <c r="CH2">
        <f t="shared" si="4"/>
        <v>103.5</v>
      </c>
      <c r="CI2">
        <f t="shared" si="4"/>
        <v>104</v>
      </c>
      <c r="CJ2">
        <f t="shared" si="4"/>
        <v>104.5</v>
      </c>
      <c r="CK2">
        <f t="shared" si="4"/>
        <v>105</v>
      </c>
      <c r="CL2">
        <f t="shared" si="4"/>
        <v>105.5</v>
      </c>
      <c r="CM2">
        <f t="shared" si="4"/>
        <v>106</v>
      </c>
      <c r="CN2">
        <f t="shared" si="4"/>
        <v>106.5</v>
      </c>
      <c r="CO2">
        <f t="shared" si="4"/>
        <v>107</v>
      </c>
      <c r="CP2">
        <f t="shared" si="4"/>
        <v>107.5</v>
      </c>
      <c r="CQ2">
        <f t="shared" si="4"/>
        <v>108</v>
      </c>
      <c r="CR2">
        <f t="shared" si="4"/>
        <v>108.5</v>
      </c>
      <c r="CS2">
        <f t="shared" si="4"/>
        <v>109</v>
      </c>
      <c r="CT2">
        <f t="shared" si="4"/>
        <v>109.5</v>
      </c>
      <c r="CU2">
        <f t="shared" si="4"/>
        <v>110</v>
      </c>
      <c r="CV2">
        <f t="shared" si="4"/>
        <v>110.5</v>
      </c>
      <c r="CW2" t="s">
        <v>149</v>
      </c>
    </row>
    <row r="3" spans="1:102" x14ac:dyDescent="0.25">
      <c r="A3" t="str">
        <f t="shared" si="2"/>
        <v>characterLife,40.000000;80;120;160;200;240;280;320;360;400;440;480;520;560;600;640;680;720;760;800;840;880;920;960;1000;1040;1080;1120;1160;1200;1240;1280;1320;1360;1400;1440;1480;1520;1560;1600;1640;1680;1720;1760;1800;1840;1880;1920;1960;2000;2040;2080;2120;2160;2200;2240;2280;2320;2360;2400;2440;2480;2520;2560;2600;2640;2680;2720;2760;2800;2840;2880;2900;2920;2940;2960;2980;3000;3020;3040;3060;3080;3100;3120;3140;3160;3180;3200;3220;3240;3260;3280;3300;3320;3340;3360;3380;3400;3420;3440,</v>
      </c>
      <c r="B3" t="s">
        <v>159</v>
      </c>
      <c r="C3">
        <v>80</v>
      </c>
      <c r="D3">
        <v>120</v>
      </c>
      <c r="E3">
        <v>160</v>
      </c>
      <c r="F3">
        <v>200</v>
      </c>
      <c r="G3">
        <v>240</v>
      </c>
      <c r="H3">
        <v>280</v>
      </c>
      <c r="I3">
        <v>320</v>
      </c>
      <c r="J3">
        <v>360</v>
      </c>
      <c r="K3">
        <v>400</v>
      </c>
      <c r="L3">
        <v>440</v>
      </c>
      <c r="M3">
        <v>480</v>
      </c>
      <c r="N3">
        <v>520</v>
      </c>
      <c r="O3">
        <v>560</v>
      </c>
      <c r="P3">
        <v>600</v>
      </c>
      <c r="Q3">
        <v>640</v>
      </c>
      <c r="R3">
        <v>680</v>
      </c>
      <c r="S3">
        <v>720</v>
      </c>
      <c r="T3">
        <v>760</v>
      </c>
      <c r="U3">
        <v>800</v>
      </c>
      <c r="V3">
        <v>840</v>
      </c>
      <c r="W3">
        <v>880</v>
      </c>
      <c r="X3">
        <v>920</v>
      </c>
      <c r="Y3">
        <v>960</v>
      </c>
      <c r="Z3">
        <v>1000</v>
      </c>
      <c r="AA3">
        <v>1040</v>
      </c>
      <c r="AB3">
        <v>1080</v>
      </c>
      <c r="AC3">
        <v>1120</v>
      </c>
      <c r="AD3">
        <v>1160</v>
      </c>
      <c r="AE3">
        <v>1200</v>
      </c>
      <c r="AF3">
        <v>1240</v>
      </c>
      <c r="AG3">
        <v>1280</v>
      </c>
      <c r="AH3">
        <v>1320</v>
      </c>
      <c r="AI3">
        <v>1360</v>
      </c>
      <c r="AJ3">
        <v>1400</v>
      </c>
      <c r="AK3">
        <v>1440</v>
      </c>
      <c r="AL3">
        <v>1480</v>
      </c>
      <c r="AM3">
        <v>1520</v>
      </c>
      <c r="AN3">
        <v>1560</v>
      </c>
      <c r="AO3">
        <v>1600</v>
      </c>
      <c r="AP3">
        <v>1640</v>
      </c>
      <c r="AQ3">
        <v>1680</v>
      </c>
      <c r="AR3">
        <v>1720</v>
      </c>
      <c r="AS3">
        <v>1760</v>
      </c>
      <c r="AT3">
        <v>1800</v>
      </c>
      <c r="AU3">
        <v>1840</v>
      </c>
      <c r="AV3">
        <v>1880</v>
      </c>
      <c r="AW3">
        <v>1920</v>
      </c>
      <c r="AX3">
        <v>1960</v>
      </c>
      <c r="AY3">
        <f>AX3+40</f>
        <v>2000</v>
      </c>
      <c r="AZ3">
        <f t="shared" ref="AZ3:BU3" si="5">AY3+40</f>
        <v>2040</v>
      </c>
      <c r="BA3">
        <f t="shared" si="5"/>
        <v>2080</v>
      </c>
      <c r="BB3">
        <f t="shared" si="5"/>
        <v>2120</v>
      </c>
      <c r="BC3">
        <f t="shared" si="5"/>
        <v>2160</v>
      </c>
      <c r="BD3">
        <f t="shared" si="5"/>
        <v>2200</v>
      </c>
      <c r="BE3">
        <f t="shared" si="5"/>
        <v>2240</v>
      </c>
      <c r="BF3">
        <f t="shared" si="5"/>
        <v>2280</v>
      </c>
      <c r="BG3">
        <f t="shared" si="5"/>
        <v>2320</v>
      </c>
      <c r="BH3">
        <f t="shared" si="5"/>
        <v>2360</v>
      </c>
      <c r="BI3">
        <f t="shared" si="5"/>
        <v>2400</v>
      </c>
      <c r="BJ3">
        <f t="shared" si="5"/>
        <v>2440</v>
      </c>
      <c r="BK3">
        <f t="shared" si="5"/>
        <v>2480</v>
      </c>
      <c r="BL3">
        <f t="shared" si="5"/>
        <v>2520</v>
      </c>
      <c r="BM3">
        <f t="shared" si="5"/>
        <v>2560</v>
      </c>
      <c r="BN3">
        <f t="shared" si="5"/>
        <v>2600</v>
      </c>
      <c r="BO3">
        <f t="shared" si="5"/>
        <v>2640</v>
      </c>
      <c r="BP3">
        <f t="shared" si="5"/>
        <v>2680</v>
      </c>
      <c r="BQ3">
        <f t="shared" si="5"/>
        <v>2720</v>
      </c>
      <c r="BR3">
        <f t="shared" si="5"/>
        <v>2760</v>
      </c>
      <c r="BS3">
        <f t="shared" si="5"/>
        <v>2800</v>
      </c>
      <c r="BT3">
        <f t="shared" si="5"/>
        <v>2840</v>
      </c>
      <c r="BU3">
        <f t="shared" si="5"/>
        <v>2880</v>
      </c>
      <c r="BV3">
        <f>BU3+20</f>
        <v>2900</v>
      </c>
      <c r="BW3">
        <f t="shared" ref="BW3:CV3" si="6">BV3+20</f>
        <v>2920</v>
      </c>
      <c r="BX3">
        <f t="shared" si="6"/>
        <v>2940</v>
      </c>
      <c r="BY3">
        <f t="shared" si="6"/>
        <v>2960</v>
      </c>
      <c r="BZ3">
        <f t="shared" si="6"/>
        <v>2980</v>
      </c>
      <c r="CA3">
        <f t="shared" si="6"/>
        <v>3000</v>
      </c>
      <c r="CB3">
        <f t="shared" si="6"/>
        <v>3020</v>
      </c>
      <c r="CC3">
        <f t="shared" si="6"/>
        <v>3040</v>
      </c>
      <c r="CD3">
        <f t="shared" si="6"/>
        <v>3060</v>
      </c>
      <c r="CE3">
        <f t="shared" si="6"/>
        <v>3080</v>
      </c>
      <c r="CF3">
        <f t="shared" si="6"/>
        <v>3100</v>
      </c>
      <c r="CG3">
        <f t="shared" si="6"/>
        <v>3120</v>
      </c>
      <c r="CH3">
        <f t="shared" si="6"/>
        <v>3140</v>
      </c>
      <c r="CI3">
        <f t="shared" si="6"/>
        <v>3160</v>
      </c>
      <c r="CJ3">
        <f t="shared" si="6"/>
        <v>3180</v>
      </c>
      <c r="CK3">
        <f t="shared" si="6"/>
        <v>3200</v>
      </c>
      <c r="CL3">
        <f t="shared" si="6"/>
        <v>3220</v>
      </c>
      <c r="CM3">
        <f t="shared" si="6"/>
        <v>3240</v>
      </c>
      <c r="CN3">
        <f t="shared" si="6"/>
        <v>3260</v>
      </c>
      <c r="CO3">
        <f t="shared" si="6"/>
        <v>3280</v>
      </c>
      <c r="CP3">
        <f t="shared" si="6"/>
        <v>3300</v>
      </c>
      <c r="CQ3">
        <f t="shared" si="6"/>
        <v>3320</v>
      </c>
      <c r="CR3">
        <f t="shared" si="6"/>
        <v>3340</v>
      </c>
      <c r="CS3">
        <f t="shared" si="6"/>
        <v>3360</v>
      </c>
      <c r="CT3">
        <f t="shared" si="6"/>
        <v>3380</v>
      </c>
      <c r="CU3">
        <f t="shared" si="6"/>
        <v>3400</v>
      </c>
      <c r="CV3">
        <f t="shared" si="6"/>
        <v>3420</v>
      </c>
      <c r="CW3" t="s">
        <v>160</v>
      </c>
    </row>
    <row r="4" spans="1:102" x14ac:dyDescent="0.25">
      <c r="A4" t="str">
        <f t="shared" si="2"/>
        <v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v>
      </c>
      <c r="B4" t="s">
        <v>65</v>
      </c>
      <c r="C4">
        <v>20</v>
      </c>
      <c r="D4">
        <v>30</v>
      </c>
      <c r="E4">
        <v>40</v>
      </c>
      <c r="F4">
        <v>50</v>
      </c>
      <c r="G4">
        <v>60</v>
      </c>
      <c r="H4">
        <v>70</v>
      </c>
      <c r="I4">
        <v>80</v>
      </c>
      <c r="J4">
        <v>90</v>
      </c>
      <c r="K4">
        <v>100</v>
      </c>
      <c r="L4">
        <v>110</v>
      </c>
      <c r="M4">
        <v>120</v>
      </c>
      <c r="N4">
        <v>130</v>
      </c>
      <c r="O4">
        <v>140</v>
      </c>
      <c r="P4">
        <v>150</v>
      </c>
      <c r="Q4">
        <v>160</v>
      </c>
      <c r="R4">
        <v>170</v>
      </c>
      <c r="S4">
        <v>180</v>
      </c>
      <c r="T4">
        <v>190</v>
      </c>
      <c r="U4">
        <v>200</v>
      </c>
      <c r="V4">
        <v>210</v>
      </c>
      <c r="W4">
        <v>220</v>
      </c>
      <c r="X4">
        <v>230</v>
      </c>
      <c r="Y4">
        <v>240</v>
      </c>
      <c r="Z4">
        <v>250</v>
      </c>
      <c r="AA4">
        <v>260</v>
      </c>
      <c r="AB4">
        <v>270</v>
      </c>
      <c r="AC4">
        <v>280</v>
      </c>
      <c r="AD4">
        <v>290</v>
      </c>
      <c r="AE4">
        <v>300</v>
      </c>
      <c r="AF4">
        <v>310</v>
      </c>
      <c r="AG4">
        <v>320</v>
      </c>
      <c r="AH4">
        <v>330</v>
      </c>
      <c r="AI4">
        <v>340</v>
      </c>
      <c r="AJ4">
        <v>350</v>
      </c>
      <c r="AK4">
        <v>360</v>
      </c>
      <c r="AL4">
        <v>370</v>
      </c>
      <c r="AM4">
        <v>380</v>
      </c>
      <c r="AN4">
        <v>390</v>
      </c>
      <c r="AO4">
        <v>400</v>
      </c>
      <c r="AP4">
        <v>410</v>
      </c>
      <c r="AQ4">
        <v>420</v>
      </c>
      <c r="AR4">
        <v>430</v>
      </c>
      <c r="AS4">
        <v>440</v>
      </c>
      <c r="AT4">
        <v>450</v>
      </c>
      <c r="AU4">
        <v>460</v>
      </c>
      <c r="AV4">
        <v>470</v>
      </c>
      <c r="AW4">
        <v>480</v>
      </c>
      <c r="AX4">
        <v>490</v>
      </c>
      <c r="AY4">
        <f>AX4+10</f>
        <v>500</v>
      </c>
      <c r="AZ4">
        <f t="shared" ref="AZ4:BU4" si="7">AY4+10</f>
        <v>510</v>
      </c>
      <c r="BA4">
        <f t="shared" si="7"/>
        <v>520</v>
      </c>
      <c r="BB4">
        <f t="shared" si="7"/>
        <v>530</v>
      </c>
      <c r="BC4">
        <f t="shared" si="7"/>
        <v>540</v>
      </c>
      <c r="BD4">
        <f t="shared" si="7"/>
        <v>550</v>
      </c>
      <c r="BE4">
        <f t="shared" si="7"/>
        <v>560</v>
      </c>
      <c r="BF4">
        <f t="shared" si="7"/>
        <v>570</v>
      </c>
      <c r="BG4">
        <f t="shared" si="7"/>
        <v>580</v>
      </c>
      <c r="BH4">
        <f t="shared" si="7"/>
        <v>590</v>
      </c>
      <c r="BI4">
        <f t="shared" si="7"/>
        <v>600</v>
      </c>
      <c r="BJ4">
        <f t="shared" si="7"/>
        <v>610</v>
      </c>
      <c r="BK4">
        <f t="shared" si="7"/>
        <v>620</v>
      </c>
      <c r="BL4">
        <f t="shared" si="7"/>
        <v>630</v>
      </c>
      <c r="BM4">
        <f t="shared" si="7"/>
        <v>640</v>
      </c>
      <c r="BN4">
        <f t="shared" si="7"/>
        <v>650</v>
      </c>
      <c r="BO4">
        <f t="shared" si="7"/>
        <v>660</v>
      </c>
      <c r="BP4">
        <f t="shared" si="7"/>
        <v>670</v>
      </c>
      <c r="BQ4">
        <f t="shared" si="7"/>
        <v>680</v>
      </c>
      <c r="BR4">
        <f t="shared" si="7"/>
        <v>690</v>
      </c>
      <c r="BS4">
        <f t="shared" si="7"/>
        <v>700</v>
      </c>
      <c r="BT4">
        <f t="shared" si="7"/>
        <v>710</v>
      </c>
      <c r="BU4">
        <f t="shared" si="7"/>
        <v>720</v>
      </c>
      <c r="BV4">
        <f>BU4+5</f>
        <v>725</v>
      </c>
      <c r="BW4">
        <f t="shared" ref="BW4:CV4" si="8">BV4+5</f>
        <v>730</v>
      </c>
      <c r="BX4">
        <f t="shared" si="8"/>
        <v>735</v>
      </c>
      <c r="BY4">
        <f t="shared" si="8"/>
        <v>740</v>
      </c>
      <c r="BZ4">
        <f t="shared" si="8"/>
        <v>745</v>
      </c>
      <c r="CA4">
        <f t="shared" si="8"/>
        <v>750</v>
      </c>
      <c r="CB4">
        <f t="shared" si="8"/>
        <v>755</v>
      </c>
      <c r="CC4">
        <f t="shared" si="8"/>
        <v>760</v>
      </c>
      <c r="CD4">
        <f t="shared" si="8"/>
        <v>765</v>
      </c>
      <c r="CE4">
        <f t="shared" si="8"/>
        <v>770</v>
      </c>
      <c r="CF4">
        <f t="shared" si="8"/>
        <v>775</v>
      </c>
      <c r="CG4">
        <f t="shared" si="8"/>
        <v>780</v>
      </c>
      <c r="CH4">
        <f t="shared" si="8"/>
        <v>785</v>
      </c>
      <c r="CI4">
        <f t="shared" si="8"/>
        <v>790</v>
      </c>
      <c r="CJ4">
        <f t="shared" si="8"/>
        <v>795</v>
      </c>
      <c r="CK4">
        <f t="shared" si="8"/>
        <v>800</v>
      </c>
      <c r="CL4">
        <f t="shared" si="8"/>
        <v>805</v>
      </c>
      <c r="CM4">
        <f t="shared" si="8"/>
        <v>810</v>
      </c>
      <c r="CN4">
        <f t="shared" si="8"/>
        <v>815</v>
      </c>
      <c r="CO4">
        <f t="shared" si="8"/>
        <v>820</v>
      </c>
      <c r="CP4">
        <f t="shared" si="8"/>
        <v>825</v>
      </c>
      <c r="CQ4">
        <f t="shared" si="8"/>
        <v>830</v>
      </c>
      <c r="CR4">
        <f t="shared" si="8"/>
        <v>835</v>
      </c>
      <c r="CS4">
        <f t="shared" si="8"/>
        <v>840</v>
      </c>
      <c r="CT4">
        <f t="shared" si="8"/>
        <v>845</v>
      </c>
      <c r="CU4">
        <f t="shared" si="8"/>
        <v>850</v>
      </c>
      <c r="CV4">
        <f t="shared" si="8"/>
        <v>855</v>
      </c>
      <c r="CW4" t="s">
        <v>151</v>
      </c>
    </row>
    <row r="5" spans="1:102" x14ac:dyDescent="0.25">
      <c r="A5" t="str">
        <f t="shared" si="2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5" t="s">
        <v>25</v>
      </c>
      <c r="C5">
        <v>8</v>
      </c>
      <c r="D5">
        <v>12</v>
      </c>
      <c r="E5">
        <v>16</v>
      </c>
      <c r="F5">
        <v>20</v>
      </c>
      <c r="G5">
        <v>24</v>
      </c>
      <c r="H5">
        <v>28</v>
      </c>
      <c r="I5">
        <v>32</v>
      </c>
      <c r="J5">
        <v>36</v>
      </c>
      <c r="K5">
        <v>40</v>
      </c>
      <c r="L5">
        <v>44</v>
      </c>
      <c r="M5">
        <v>48</v>
      </c>
      <c r="N5">
        <v>52</v>
      </c>
      <c r="O5">
        <v>56</v>
      </c>
      <c r="P5">
        <v>60</v>
      </c>
      <c r="Q5">
        <v>64</v>
      </c>
      <c r="R5">
        <v>68</v>
      </c>
      <c r="S5">
        <v>72</v>
      </c>
      <c r="T5">
        <v>76</v>
      </c>
      <c r="U5">
        <v>80</v>
      </c>
      <c r="V5">
        <v>84</v>
      </c>
      <c r="W5">
        <v>88</v>
      </c>
      <c r="X5">
        <v>92</v>
      </c>
      <c r="Y5">
        <v>96</v>
      </c>
      <c r="Z5">
        <v>100</v>
      </c>
      <c r="AA5">
        <v>104</v>
      </c>
      <c r="AB5">
        <v>108</v>
      </c>
      <c r="AC5">
        <v>112</v>
      </c>
      <c r="AD5">
        <v>116</v>
      </c>
      <c r="AE5">
        <v>120</v>
      </c>
      <c r="AF5">
        <v>124</v>
      </c>
      <c r="AG5">
        <v>128</v>
      </c>
      <c r="AH5">
        <v>132</v>
      </c>
      <c r="AI5">
        <v>136</v>
      </c>
      <c r="AJ5">
        <v>140</v>
      </c>
      <c r="AK5">
        <v>144</v>
      </c>
      <c r="AL5">
        <v>148</v>
      </c>
      <c r="AM5">
        <v>152</v>
      </c>
      <c r="AN5">
        <v>156</v>
      </c>
      <c r="AO5">
        <v>160</v>
      </c>
      <c r="AP5">
        <v>164</v>
      </c>
      <c r="AQ5">
        <v>168</v>
      </c>
      <c r="AR5">
        <v>172</v>
      </c>
      <c r="AS5">
        <v>176</v>
      </c>
      <c r="AT5">
        <v>180</v>
      </c>
      <c r="AU5">
        <v>184</v>
      </c>
      <c r="AV5">
        <v>188</v>
      </c>
      <c r="AW5">
        <v>192</v>
      </c>
      <c r="AX5">
        <v>196</v>
      </c>
      <c r="AY5">
        <f>AX5+4</f>
        <v>200</v>
      </c>
      <c r="AZ5">
        <f t="shared" ref="AZ5:BU5" si="9">AY5+4</f>
        <v>204</v>
      </c>
      <c r="BA5">
        <f t="shared" si="9"/>
        <v>208</v>
      </c>
      <c r="BB5">
        <f t="shared" si="9"/>
        <v>212</v>
      </c>
      <c r="BC5">
        <f t="shared" si="9"/>
        <v>216</v>
      </c>
      <c r="BD5">
        <f t="shared" si="9"/>
        <v>220</v>
      </c>
      <c r="BE5">
        <f t="shared" si="9"/>
        <v>224</v>
      </c>
      <c r="BF5">
        <f t="shared" si="9"/>
        <v>228</v>
      </c>
      <c r="BG5">
        <f t="shared" si="9"/>
        <v>232</v>
      </c>
      <c r="BH5">
        <f t="shared" si="9"/>
        <v>236</v>
      </c>
      <c r="BI5">
        <f t="shared" si="9"/>
        <v>240</v>
      </c>
      <c r="BJ5">
        <f t="shared" si="9"/>
        <v>244</v>
      </c>
      <c r="BK5">
        <f t="shared" si="9"/>
        <v>248</v>
      </c>
      <c r="BL5">
        <f t="shared" si="9"/>
        <v>252</v>
      </c>
      <c r="BM5">
        <f t="shared" si="9"/>
        <v>256</v>
      </c>
      <c r="BN5">
        <f t="shared" si="9"/>
        <v>260</v>
      </c>
      <c r="BO5">
        <f t="shared" si="9"/>
        <v>264</v>
      </c>
      <c r="BP5">
        <f t="shared" si="9"/>
        <v>268</v>
      </c>
      <c r="BQ5">
        <f t="shared" si="9"/>
        <v>272</v>
      </c>
      <c r="BR5">
        <f t="shared" si="9"/>
        <v>276</v>
      </c>
      <c r="BS5">
        <f t="shared" si="9"/>
        <v>280</v>
      </c>
      <c r="BT5">
        <f t="shared" si="9"/>
        <v>284</v>
      </c>
      <c r="BU5">
        <f t="shared" si="9"/>
        <v>288</v>
      </c>
      <c r="BV5">
        <f>BU5+2</f>
        <v>290</v>
      </c>
      <c r="BW5">
        <f t="shared" ref="BW5:CV5" si="10">BV5+2</f>
        <v>292</v>
      </c>
      <c r="BX5">
        <f t="shared" si="10"/>
        <v>294</v>
      </c>
      <c r="BY5">
        <f t="shared" si="10"/>
        <v>296</v>
      </c>
      <c r="BZ5">
        <f t="shared" si="10"/>
        <v>298</v>
      </c>
      <c r="CA5">
        <f t="shared" si="10"/>
        <v>300</v>
      </c>
      <c r="CB5">
        <f t="shared" si="10"/>
        <v>302</v>
      </c>
      <c r="CC5">
        <f t="shared" si="10"/>
        <v>304</v>
      </c>
      <c r="CD5">
        <f t="shared" si="10"/>
        <v>306</v>
      </c>
      <c r="CE5">
        <f t="shared" si="10"/>
        <v>308</v>
      </c>
      <c r="CF5">
        <f t="shared" si="10"/>
        <v>310</v>
      </c>
      <c r="CG5">
        <f t="shared" si="10"/>
        <v>312</v>
      </c>
      <c r="CH5">
        <f t="shared" si="10"/>
        <v>314</v>
      </c>
      <c r="CI5">
        <f t="shared" si="10"/>
        <v>316</v>
      </c>
      <c r="CJ5">
        <f t="shared" si="10"/>
        <v>318</v>
      </c>
      <c r="CK5">
        <f t="shared" si="10"/>
        <v>320</v>
      </c>
      <c r="CL5">
        <f t="shared" si="10"/>
        <v>322</v>
      </c>
      <c r="CM5">
        <f t="shared" si="10"/>
        <v>324</v>
      </c>
      <c r="CN5">
        <f t="shared" si="10"/>
        <v>326</v>
      </c>
      <c r="CO5">
        <f t="shared" si="10"/>
        <v>328</v>
      </c>
      <c r="CP5">
        <f t="shared" si="10"/>
        <v>330</v>
      </c>
      <c r="CQ5">
        <f t="shared" si="10"/>
        <v>332</v>
      </c>
      <c r="CR5">
        <f t="shared" si="10"/>
        <v>334</v>
      </c>
      <c r="CS5">
        <f t="shared" si="10"/>
        <v>336</v>
      </c>
      <c r="CT5">
        <f t="shared" si="10"/>
        <v>338</v>
      </c>
      <c r="CU5">
        <f t="shared" si="10"/>
        <v>340</v>
      </c>
      <c r="CV5">
        <f t="shared" si="10"/>
        <v>342</v>
      </c>
      <c r="CW5" t="s">
        <v>153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1.25;2.5;3.75;5;6.25;7.5;8.75;10;11.3;12.5;13.8;15;16.3;17.5;18.8;20;21.3;22.5;22.5;23.8;23.8;25;25.1;25.3;25.4;25.5;25.6;25.8;25.88;26;26.13;26.3;26.38;26.5;26.63;26.8;26.88;27;27.13;27.3;27.38;27.5;27.63;27.8;27.88;28;28.13;28.3;28.38;28.5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1.25</v>
      </c>
      <c r="BA6">
        <v>2.5</v>
      </c>
      <c r="BB6">
        <v>3.75</v>
      </c>
      <c r="BC6">
        <v>5</v>
      </c>
      <c r="BD6">
        <v>6.25</v>
      </c>
      <c r="BE6">
        <v>7.5</v>
      </c>
      <c r="BF6">
        <v>8.75</v>
      </c>
      <c r="BG6">
        <v>10</v>
      </c>
      <c r="BH6">
        <v>11.25</v>
      </c>
      <c r="BI6">
        <v>12.5</v>
      </c>
      <c r="BJ6">
        <v>13.75</v>
      </c>
      <c r="BK6">
        <v>15</v>
      </c>
      <c r="BL6">
        <v>16.25</v>
      </c>
      <c r="BM6">
        <v>17.5</v>
      </c>
      <c r="BN6">
        <v>18.75</v>
      </c>
      <c r="BO6">
        <v>20</v>
      </c>
      <c r="BP6">
        <v>21.25</v>
      </c>
      <c r="BQ6">
        <v>22.5</v>
      </c>
      <c r="BR6">
        <v>22.5</v>
      </c>
      <c r="BS6">
        <v>23.75</v>
      </c>
      <c r="BT6">
        <v>23.75</v>
      </c>
      <c r="BU6">
        <v>25</v>
      </c>
      <c r="BV6">
        <f>BU6+0.125</f>
        <v>25.125</v>
      </c>
      <c r="BW6">
        <f t="shared" ref="BW6:CV6" si="11">BV6+0.125</f>
        <v>25.25</v>
      </c>
      <c r="BX6">
        <f t="shared" si="11"/>
        <v>25.375</v>
      </c>
      <c r="BY6">
        <f t="shared" si="11"/>
        <v>25.5</v>
      </c>
      <c r="BZ6">
        <f t="shared" si="11"/>
        <v>25.625</v>
      </c>
      <c r="CA6">
        <f t="shared" si="11"/>
        <v>25.75</v>
      </c>
      <c r="CB6">
        <f t="shared" si="11"/>
        <v>25.875</v>
      </c>
      <c r="CC6">
        <f t="shared" si="11"/>
        <v>26</v>
      </c>
      <c r="CD6">
        <f t="shared" si="11"/>
        <v>26.125</v>
      </c>
      <c r="CE6">
        <f t="shared" si="11"/>
        <v>26.25</v>
      </c>
      <c r="CF6">
        <f t="shared" si="11"/>
        <v>26.375</v>
      </c>
      <c r="CG6">
        <f t="shared" si="11"/>
        <v>26.5</v>
      </c>
      <c r="CH6">
        <f t="shared" si="11"/>
        <v>26.625</v>
      </c>
      <c r="CI6">
        <f t="shared" si="11"/>
        <v>26.75</v>
      </c>
      <c r="CJ6">
        <f t="shared" si="11"/>
        <v>26.875</v>
      </c>
      <c r="CK6">
        <f t="shared" si="11"/>
        <v>27</v>
      </c>
      <c r="CL6">
        <f t="shared" si="11"/>
        <v>27.125</v>
      </c>
      <c r="CM6">
        <f t="shared" si="11"/>
        <v>27.25</v>
      </c>
      <c r="CN6">
        <f t="shared" si="11"/>
        <v>27.375</v>
      </c>
      <c r="CO6">
        <f t="shared" si="11"/>
        <v>27.5</v>
      </c>
      <c r="CP6">
        <f t="shared" si="11"/>
        <v>27.625</v>
      </c>
      <c r="CQ6">
        <f t="shared" si="11"/>
        <v>27.75</v>
      </c>
      <c r="CR6">
        <f t="shared" si="11"/>
        <v>27.875</v>
      </c>
      <c r="CS6">
        <f t="shared" si="11"/>
        <v>28</v>
      </c>
      <c r="CT6">
        <f t="shared" si="11"/>
        <v>28.125</v>
      </c>
      <c r="CU6">
        <f t="shared" si="11"/>
        <v>28.25</v>
      </c>
      <c r="CV6">
        <f t="shared" si="11"/>
        <v>28.375</v>
      </c>
      <c r="CW6" t="s">
        <v>70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f>BU7+0.25</f>
        <v>10.25</v>
      </c>
      <c r="BW7">
        <f t="shared" ref="BW7:CV8" si="12">BV7+0.25</f>
        <v>10.5</v>
      </c>
      <c r="BX7">
        <f t="shared" si="12"/>
        <v>10.75</v>
      </c>
      <c r="BY7">
        <f t="shared" si="12"/>
        <v>11</v>
      </c>
      <c r="BZ7">
        <f t="shared" si="12"/>
        <v>11.25</v>
      </c>
      <c r="CA7">
        <f t="shared" si="12"/>
        <v>11.5</v>
      </c>
      <c r="CB7">
        <f t="shared" si="12"/>
        <v>11.75</v>
      </c>
      <c r="CC7">
        <f t="shared" si="12"/>
        <v>12</v>
      </c>
      <c r="CD7">
        <f t="shared" si="12"/>
        <v>12.25</v>
      </c>
      <c r="CE7">
        <f t="shared" si="12"/>
        <v>12.5</v>
      </c>
      <c r="CF7">
        <f t="shared" si="12"/>
        <v>12.75</v>
      </c>
      <c r="CG7">
        <f t="shared" si="12"/>
        <v>13</v>
      </c>
      <c r="CH7">
        <f t="shared" si="12"/>
        <v>13.25</v>
      </c>
      <c r="CI7">
        <f t="shared" si="12"/>
        <v>13.5</v>
      </c>
      <c r="CJ7">
        <f t="shared" si="12"/>
        <v>13.75</v>
      </c>
      <c r="CK7">
        <f t="shared" si="12"/>
        <v>14</v>
      </c>
      <c r="CL7">
        <f t="shared" si="12"/>
        <v>14.25</v>
      </c>
      <c r="CM7">
        <f t="shared" si="12"/>
        <v>14.5</v>
      </c>
      <c r="CN7">
        <f t="shared" si="12"/>
        <v>14.75</v>
      </c>
      <c r="CO7">
        <f t="shared" si="12"/>
        <v>15</v>
      </c>
      <c r="CP7">
        <f t="shared" si="12"/>
        <v>15.25</v>
      </c>
      <c r="CQ7">
        <f t="shared" si="12"/>
        <v>15.5</v>
      </c>
      <c r="CR7">
        <f t="shared" si="12"/>
        <v>15.75</v>
      </c>
      <c r="CS7">
        <f t="shared" si="12"/>
        <v>16</v>
      </c>
      <c r="CT7">
        <f t="shared" si="12"/>
        <v>16.25</v>
      </c>
      <c r="CU7">
        <f t="shared" si="12"/>
        <v>16.5</v>
      </c>
      <c r="CV7">
        <f t="shared" si="12"/>
        <v>16.75</v>
      </c>
      <c r="CW7" t="s">
        <v>57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f>BU8+0.25</f>
        <v>10.25</v>
      </c>
      <c r="BW8">
        <f t="shared" si="12"/>
        <v>10.5</v>
      </c>
      <c r="BX8">
        <f t="shared" si="12"/>
        <v>10.75</v>
      </c>
      <c r="BY8">
        <f t="shared" si="12"/>
        <v>11</v>
      </c>
      <c r="BZ8">
        <f t="shared" si="12"/>
        <v>11.25</v>
      </c>
      <c r="CA8">
        <f t="shared" si="12"/>
        <v>11.5</v>
      </c>
      <c r="CB8">
        <f t="shared" si="12"/>
        <v>11.75</v>
      </c>
      <c r="CC8">
        <f t="shared" si="12"/>
        <v>12</v>
      </c>
      <c r="CD8">
        <f t="shared" si="12"/>
        <v>12.25</v>
      </c>
      <c r="CE8">
        <f t="shared" si="12"/>
        <v>12.5</v>
      </c>
      <c r="CF8">
        <f t="shared" si="12"/>
        <v>12.75</v>
      </c>
      <c r="CG8">
        <f t="shared" si="12"/>
        <v>13</v>
      </c>
      <c r="CH8">
        <f t="shared" si="12"/>
        <v>13.25</v>
      </c>
      <c r="CI8">
        <f t="shared" si="12"/>
        <v>13.5</v>
      </c>
      <c r="CJ8">
        <f t="shared" si="12"/>
        <v>13.75</v>
      </c>
      <c r="CK8">
        <f t="shared" si="12"/>
        <v>14</v>
      </c>
      <c r="CL8">
        <f t="shared" si="12"/>
        <v>14.25</v>
      </c>
      <c r="CM8">
        <f t="shared" si="12"/>
        <v>14.5</v>
      </c>
      <c r="CN8">
        <f t="shared" si="12"/>
        <v>14.75</v>
      </c>
      <c r="CO8">
        <f t="shared" si="12"/>
        <v>15</v>
      </c>
      <c r="CP8">
        <f t="shared" si="12"/>
        <v>15.25</v>
      </c>
      <c r="CQ8">
        <f t="shared" si="12"/>
        <v>15.5</v>
      </c>
      <c r="CR8">
        <f t="shared" si="12"/>
        <v>15.75</v>
      </c>
      <c r="CS8">
        <f t="shared" si="12"/>
        <v>16</v>
      </c>
      <c r="CT8">
        <f t="shared" si="12"/>
        <v>16.25</v>
      </c>
      <c r="CU8">
        <f t="shared" si="12"/>
        <v>16.5</v>
      </c>
      <c r="CV8">
        <f t="shared" si="12"/>
        <v>16.75</v>
      </c>
      <c r="CW8" t="s">
        <v>57</v>
      </c>
    </row>
    <row r="9" spans="1:102" x14ac:dyDescent="0.25">
      <c r="A9" t="str">
        <f t="shared" si="2"/>
        <v>characterOffensiveAbility,0.000000;0;0;0;0;0;0;0;0;0;0;0;0;0;0;0;0;0;0;0;0;0;0;0;0;0;0;0;0;0;0;0;0;0;0;0;0;0;0;0;0;0;0;0;0;0;0;0;0;0;0;4;8;12;16;20;24;28;32;36;40;44;48;52;56;60;64;68;72;76;80;84;86;88;90;92;94;96;98;100;102;104;106;108;110;112;114;116;118;120;122;124;126;128;130;132;134;136;138;140,</v>
      </c>
      <c r="B9" t="s">
        <v>162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f t="shared" ref="BA9:BU9" si="13">AZ9+4</f>
        <v>4</v>
      </c>
      <c r="BB9">
        <f t="shared" si="13"/>
        <v>8</v>
      </c>
      <c r="BC9">
        <f t="shared" si="13"/>
        <v>12</v>
      </c>
      <c r="BD9">
        <f t="shared" si="13"/>
        <v>16</v>
      </c>
      <c r="BE9">
        <f t="shared" si="13"/>
        <v>20</v>
      </c>
      <c r="BF9">
        <f t="shared" si="13"/>
        <v>24</v>
      </c>
      <c r="BG9">
        <f t="shared" si="13"/>
        <v>28</v>
      </c>
      <c r="BH9">
        <f t="shared" si="13"/>
        <v>32</v>
      </c>
      <c r="BI9">
        <f t="shared" si="13"/>
        <v>36</v>
      </c>
      <c r="BJ9">
        <f t="shared" si="13"/>
        <v>40</v>
      </c>
      <c r="BK9">
        <f t="shared" si="13"/>
        <v>44</v>
      </c>
      <c r="BL9">
        <f t="shared" si="13"/>
        <v>48</v>
      </c>
      <c r="BM9">
        <f t="shared" si="13"/>
        <v>52</v>
      </c>
      <c r="BN9">
        <f t="shared" si="13"/>
        <v>56</v>
      </c>
      <c r="BO9">
        <f t="shared" si="13"/>
        <v>60</v>
      </c>
      <c r="BP9">
        <f t="shared" si="13"/>
        <v>64</v>
      </c>
      <c r="BQ9">
        <f t="shared" si="13"/>
        <v>68</v>
      </c>
      <c r="BR9">
        <f t="shared" si="13"/>
        <v>72</v>
      </c>
      <c r="BS9">
        <f t="shared" si="13"/>
        <v>76</v>
      </c>
      <c r="BT9">
        <f t="shared" si="13"/>
        <v>80</v>
      </c>
      <c r="BU9">
        <f t="shared" si="13"/>
        <v>84</v>
      </c>
      <c r="BV9">
        <f>BU9+2</f>
        <v>86</v>
      </c>
      <c r="BW9">
        <f t="shared" ref="BW9:CV9" si="14">BV9+2</f>
        <v>88</v>
      </c>
      <c r="BX9">
        <f t="shared" si="14"/>
        <v>90</v>
      </c>
      <c r="BY9">
        <f t="shared" si="14"/>
        <v>92</v>
      </c>
      <c r="BZ9">
        <f t="shared" si="14"/>
        <v>94</v>
      </c>
      <c r="CA9">
        <f t="shared" si="14"/>
        <v>96</v>
      </c>
      <c r="CB9">
        <f t="shared" si="14"/>
        <v>98</v>
      </c>
      <c r="CC9">
        <f t="shared" si="14"/>
        <v>100</v>
      </c>
      <c r="CD9">
        <f t="shared" si="14"/>
        <v>102</v>
      </c>
      <c r="CE9">
        <f t="shared" si="14"/>
        <v>104</v>
      </c>
      <c r="CF9">
        <f t="shared" si="14"/>
        <v>106</v>
      </c>
      <c r="CG9">
        <f t="shared" si="14"/>
        <v>108</v>
      </c>
      <c r="CH9">
        <f t="shared" si="14"/>
        <v>110</v>
      </c>
      <c r="CI9">
        <f t="shared" si="14"/>
        <v>112</v>
      </c>
      <c r="CJ9">
        <f t="shared" si="14"/>
        <v>114</v>
      </c>
      <c r="CK9">
        <f t="shared" si="14"/>
        <v>116</v>
      </c>
      <c r="CL9">
        <f t="shared" si="14"/>
        <v>118</v>
      </c>
      <c r="CM9">
        <f t="shared" si="14"/>
        <v>120</v>
      </c>
      <c r="CN9">
        <f t="shared" si="14"/>
        <v>122</v>
      </c>
      <c r="CO9">
        <f t="shared" si="14"/>
        <v>124</v>
      </c>
      <c r="CP9">
        <f t="shared" si="14"/>
        <v>126</v>
      </c>
      <c r="CQ9">
        <f t="shared" si="14"/>
        <v>128</v>
      </c>
      <c r="CR9">
        <f t="shared" si="14"/>
        <v>130</v>
      </c>
      <c r="CS9">
        <f t="shared" si="14"/>
        <v>132</v>
      </c>
      <c r="CT9">
        <f t="shared" si="14"/>
        <v>134</v>
      </c>
      <c r="CU9">
        <f t="shared" si="14"/>
        <v>136</v>
      </c>
      <c r="CV9">
        <f t="shared" si="14"/>
        <v>138</v>
      </c>
      <c r="CW9" t="s">
        <v>161</v>
      </c>
    </row>
    <row r="10" spans="1:102" x14ac:dyDescent="0.25">
      <c r="A10" t="str">
        <f t="shared" si="2"/>
        <v>characterOffensiveAbility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10" t="s">
        <v>78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f>BU10+0.25</f>
        <v>10.25</v>
      </c>
      <c r="BW10">
        <f t="shared" ref="BW10" si="15">BV10+0.25</f>
        <v>10.5</v>
      </c>
      <c r="BX10">
        <f t="shared" ref="BX10" si="16">BW10+0.25</f>
        <v>10.75</v>
      </c>
      <c r="BY10">
        <f t="shared" ref="BY10" si="17">BX10+0.25</f>
        <v>11</v>
      </c>
      <c r="BZ10">
        <f t="shared" ref="BZ10" si="18">BY10+0.25</f>
        <v>11.25</v>
      </c>
      <c r="CA10">
        <f t="shared" ref="CA10" si="19">BZ10+0.25</f>
        <v>11.5</v>
      </c>
      <c r="CB10">
        <f t="shared" ref="CB10" si="20">CA10+0.25</f>
        <v>11.75</v>
      </c>
      <c r="CC10">
        <f t="shared" ref="CC10" si="21">CB10+0.25</f>
        <v>12</v>
      </c>
      <c r="CD10">
        <f t="shared" ref="CD10" si="22">CC10+0.25</f>
        <v>12.25</v>
      </c>
      <c r="CE10">
        <f t="shared" ref="CE10" si="23">CD10+0.25</f>
        <v>12.5</v>
      </c>
      <c r="CF10">
        <f t="shared" ref="CF10" si="24">CE10+0.25</f>
        <v>12.75</v>
      </c>
      <c r="CG10">
        <f t="shared" ref="CG10" si="25">CF10+0.25</f>
        <v>13</v>
      </c>
      <c r="CH10">
        <f t="shared" ref="CH10" si="26">CG10+0.25</f>
        <v>13.25</v>
      </c>
      <c r="CI10">
        <f t="shared" ref="CI10" si="27">CH10+0.25</f>
        <v>13.5</v>
      </c>
      <c r="CJ10">
        <f t="shared" ref="CJ10" si="28">CI10+0.25</f>
        <v>13.75</v>
      </c>
      <c r="CK10">
        <f t="shared" ref="CK10" si="29">CJ10+0.25</f>
        <v>14</v>
      </c>
      <c r="CL10">
        <f t="shared" ref="CL10" si="30">CK10+0.25</f>
        <v>14.25</v>
      </c>
      <c r="CM10">
        <f t="shared" ref="CM10" si="31">CL10+0.25</f>
        <v>14.5</v>
      </c>
      <c r="CN10">
        <f t="shared" ref="CN10" si="32">CM10+0.25</f>
        <v>14.75</v>
      </c>
      <c r="CO10">
        <f t="shared" ref="CO10" si="33">CN10+0.25</f>
        <v>15</v>
      </c>
      <c r="CP10">
        <f t="shared" ref="CP10" si="34">CO10+0.25</f>
        <v>15.25</v>
      </c>
      <c r="CQ10">
        <f t="shared" ref="CQ10" si="35">CP10+0.25</f>
        <v>15.5</v>
      </c>
      <c r="CR10">
        <f t="shared" ref="CR10" si="36">CQ10+0.25</f>
        <v>15.75</v>
      </c>
      <c r="CS10">
        <f t="shared" ref="CS10" si="37">CR10+0.25</f>
        <v>16</v>
      </c>
      <c r="CT10">
        <f t="shared" ref="CT10" si="38">CS10+0.25</f>
        <v>16.25</v>
      </c>
      <c r="CU10">
        <f t="shared" ref="CU10" si="39">CT10+0.25</f>
        <v>16.5</v>
      </c>
      <c r="CV10">
        <f t="shared" ref="CV10" si="40">CU10+0.25</f>
        <v>16.75</v>
      </c>
      <c r="CW10" t="s">
        <v>57</v>
      </c>
    </row>
    <row r="14" spans="1:102" x14ac:dyDescent="0.25">
      <c r="C14">
        <v>1</v>
      </c>
      <c r="D14" s="1">
        <f>C14+1</f>
        <v>2</v>
      </c>
      <c r="E14" s="1">
        <f t="shared" ref="E14:BP14" si="41">D14+1</f>
        <v>3</v>
      </c>
      <c r="F14" s="1">
        <f t="shared" si="41"/>
        <v>4</v>
      </c>
      <c r="G14" s="1">
        <f t="shared" si="41"/>
        <v>5</v>
      </c>
      <c r="H14" s="1">
        <f t="shared" si="41"/>
        <v>6</v>
      </c>
      <c r="I14" s="1">
        <f t="shared" si="41"/>
        <v>7</v>
      </c>
      <c r="J14" s="1">
        <f t="shared" si="41"/>
        <v>8</v>
      </c>
      <c r="K14" s="1">
        <f t="shared" si="41"/>
        <v>9</v>
      </c>
      <c r="L14" s="1">
        <f t="shared" si="41"/>
        <v>10</v>
      </c>
      <c r="M14" s="1">
        <f t="shared" si="41"/>
        <v>11</v>
      </c>
      <c r="N14" s="1">
        <f t="shared" si="41"/>
        <v>12</v>
      </c>
      <c r="O14" s="1">
        <f t="shared" si="41"/>
        <v>13</v>
      </c>
      <c r="P14" s="1">
        <f t="shared" si="41"/>
        <v>14</v>
      </c>
      <c r="Q14" s="1">
        <f t="shared" si="41"/>
        <v>15</v>
      </c>
      <c r="R14" s="1">
        <f t="shared" si="41"/>
        <v>16</v>
      </c>
      <c r="S14" s="1">
        <f t="shared" si="41"/>
        <v>17</v>
      </c>
      <c r="T14" s="1">
        <f t="shared" si="41"/>
        <v>18</v>
      </c>
      <c r="U14" s="1">
        <f t="shared" si="41"/>
        <v>19</v>
      </c>
      <c r="V14" s="1">
        <f t="shared" si="41"/>
        <v>20</v>
      </c>
      <c r="W14" s="1">
        <f t="shared" si="41"/>
        <v>21</v>
      </c>
      <c r="X14" s="1">
        <f t="shared" si="41"/>
        <v>22</v>
      </c>
      <c r="Y14" s="1">
        <f t="shared" si="41"/>
        <v>23</v>
      </c>
      <c r="Z14" s="1">
        <f t="shared" si="41"/>
        <v>24</v>
      </c>
      <c r="AA14" s="1">
        <f t="shared" si="41"/>
        <v>25</v>
      </c>
      <c r="AB14" s="1">
        <f t="shared" si="41"/>
        <v>26</v>
      </c>
      <c r="AC14" s="1">
        <f t="shared" si="41"/>
        <v>27</v>
      </c>
      <c r="AD14" s="1">
        <f t="shared" si="41"/>
        <v>28</v>
      </c>
      <c r="AE14" s="1">
        <f t="shared" si="41"/>
        <v>29</v>
      </c>
      <c r="AF14" s="1">
        <f t="shared" si="41"/>
        <v>30</v>
      </c>
      <c r="AG14" s="1">
        <f t="shared" si="41"/>
        <v>31</v>
      </c>
      <c r="AH14" s="1">
        <f t="shared" si="41"/>
        <v>32</v>
      </c>
      <c r="AI14" s="1">
        <f t="shared" si="41"/>
        <v>33</v>
      </c>
      <c r="AJ14" s="1">
        <f t="shared" si="41"/>
        <v>34</v>
      </c>
      <c r="AK14" s="1">
        <f t="shared" si="41"/>
        <v>35</v>
      </c>
      <c r="AL14" s="1">
        <f t="shared" si="41"/>
        <v>36</v>
      </c>
      <c r="AM14" s="1">
        <f t="shared" si="41"/>
        <v>37</v>
      </c>
      <c r="AN14" s="1">
        <f t="shared" si="41"/>
        <v>38</v>
      </c>
      <c r="AO14" s="1">
        <f t="shared" si="41"/>
        <v>39</v>
      </c>
      <c r="AP14" s="1">
        <f t="shared" si="41"/>
        <v>40</v>
      </c>
      <c r="AQ14" s="1">
        <f t="shared" si="41"/>
        <v>41</v>
      </c>
      <c r="AR14" s="1">
        <f t="shared" si="41"/>
        <v>42</v>
      </c>
      <c r="AS14" s="1">
        <f t="shared" si="41"/>
        <v>43</v>
      </c>
      <c r="AT14" s="1">
        <f t="shared" si="41"/>
        <v>44</v>
      </c>
      <c r="AU14" s="1">
        <f t="shared" si="41"/>
        <v>45</v>
      </c>
      <c r="AV14" s="1">
        <f t="shared" si="41"/>
        <v>46</v>
      </c>
      <c r="AW14" s="1">
        <f t="shared" si="41"/>
        <v>47</v>
      </c>
      <c r="AX14" s="1">
        <f t="shared" si="41"/>
        <v>48</v>
      </c>
      <c r="AY14" s="1">
        <f t="shared" si="41"/>
        <v>49</v>
      </c>
      <c r="AZ14" s="1">
        <f t="shared" si="41"/>
        <v>50</v>
      </c>
      <c r="BA14" s="1">
        <f t="shared" si="41"/>
        <v>51</v>
      </c>
      <c r="BB14" s="1">
        <f t="shared" si="41"/>
        <v>52</v>
      </c>
      <c r="BC14" s="1">
        <f t="shared" si="41"/>
        <v>53</v>
      </c>
      <c r="BD14" s="1">
        <f t="shared" si="41"/>
        <v>54</v>
      </c>
      <c r="BE14" s="1">
        <f t="shared" si="41"/>
        <v>55</v>
      </c>
      <c r="BF14" s="1">
        <f t="shared" si="41"/>
        <v>56</v>
      </c>
      <c r="BG14" s="1">
        <f t="shared" si="41"/>
        <v>57</v>
      </c>
      <c r="BH14" s="1">
        <f t="shared" si="41"/>
        <v>58</v>
      </c>
      <c r="BI14" s="1">
        <f t="shared" si="41"/>
        <v>59</v>
      </c>
      <c r="BJ14" s="1">
        <f t="shared" si="41"/>
        <v>60</v>
      </c>
      <c r="BK14" s="1">
        <f t="shared" si="41"/>
        <v>61</v>
      </c>
      <c r="BL14" s="1">
        <f t="shared" si="41"/>
        <v>62</v>
      </c>
      <c r="BM14" s="1">
        <f t="shared" si="41"/>
        <v>63</v>
      </c>
      <c r="BN14" s="1">
        <f t="shared" si="41"/>
        <v>64</v>
      </c>
      <c r="BO14" s="1">
        <f t="shared" si="41"/>
        <v>65</v>
      </c>
      <c r="BP14" s="1">
        <f t="shared" si="41"/>
        <v>66</v>
      </c>
      <c r="BQ14" s="1">
        <f t="shared" ref="BQ14:CW14" si="42">BP14+1</f>
        <v>67</v>
      </c>
      <c r="BR14" s="1">
        <f t="shared" si="42"/>
        <v>68</v>
      </c>
      <c r="BS14" s="1">
        <f t="shared" si="42"/>
        <v>69</v>
      </c>
      <c r="BT14" s="1">
        <f t="shared" si="42"/>
        <v>70</v>
      </c>
      <c r="BU14" s="1">
        <f t="shared" si="42"/>
        <v>71</v>
      </c>
      <c r="BV14" s="1">
        <f t="shared" si="42"/>
        <v>72</v>
      </c>
      <c r="BW14" s="1">
        <f t="shared" si="42"/>
        <v>73</v>
      </c>
      <c r="BX14" s="1">
        <f t="shared" si="42"/>
        <v>74</v>
      </c>
      <c r="BY14" s="1">
        <f t="shared" si="42"/>
        <v>75</v>
      </c>
      <c r="BZ14" s="1">
        <f t="shared" si="42"/>
        <v>76</v>
      </c>
      <c r="CA14" s="1">
        <f t="shared" si="42"/>
        <v>77</v>
      </c>
      <c r="CB14" s="1">
        <f t="shared" si="42"/>
        <v>78</v>
      </c>
      <c r="CC14" s="1">
        <f t="shared" si="42"/>
        <v>79</v>
      </c>
      <c r="CD14" s="1">
        <f t="shared" si="42"/>
        <v>80</v>
      </c>
      <c r="CE14" s="1">
        <f t="shared" si="42"/>
        <v>81</v>
      </c>
      <c r="CF14" s="1">
        <f t="shared" si="42"/>
        <v>82</v>
      </c>
      <c r="CG14" s="1">
        <f t="shared" si="42"/>
        <v>83</v>
      </c>
      <c r="CH14" s="1">
        <f t="shared" si="42"/>
        <v>84</v>
      </c>
      <c r="CI14" s="1">
        <f t="shared" si="42"/>
        <v>85</v>
      </c>
      <c r="CJ14" s="1">
        <f t="shared" si="42"/>
        <v>86</v>
      </c>
      <c r="CK14" s="1">
        <f t="shared" si="42"/>
        <v>87</v>
      </c>
      <c r="CL14" s="1">
        <f t="shared" si="42"/>
        <v>88</v>
      </c>
      <c r="CM14" s="1">
        <f t="shared" si="42"/>
        <v>89</v>
      </c>
      <c r="CN14" s="1">
        <f t="shared" si="42"/>
        <v>90</v>
      </c>
      <c r="CO14" s="1">
        <f t="shared" si="42"/>
        <v>91</v>
      </c>
      <c r="CP14" s="1">
        <f t="shared" si="42"/>
        <v>92</v>
      </c>
      <c r="CQ14" s="1">
        <f t="shared" si="42"/>
        <v>93</v>
      </c>
      <c r="CR14" s="1">
        <f t="shared" si="42"/>
        <v>94</v>
      </c>
      <c r="CS14" s="1">
        <f t="shared" si="42"/>
        <v>95</v>
      </c>
      <c r="CT14" s="1">
        <f t="shared" si="42"/>
        <v>96</v>
      </c>
      <c r="CU14" s="1">
        <f t="shared" si="42"/>
        <v>97</v>
      </c>
      <c r="CV14" s="1">
        <f t="shared" si="42"/>
        <v>98</v>
      </c>
      <c r="CW14" s="1">
        <f t="shared" si="4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X14"/>
  <sheetViews>
    <sheetView workbookViewId="0">
      <selection activeCell="A8" sqref="A1:A8"/>
    </sheetView>
  </sheetViews>
  <sheetFormatPr defaultRowHeight="15" x14ac:dyDescent="0.25"/>
  <cols>
    <col min="2" max="2" width="28.42578125" bestFit="1" customWidth="1"/>
    <col min="3" max="4" width="3" bestFit="1" customWidth="1"/>
    <col min="5" max="32" width="4" bestFit="1" customWidth="1"/>
    <col min="33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" t="s">
        <v>60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f>AX1+3</f>
        <v>150</v>
      </c>
      <c r="AZ1">
        <f t="shared" ref="AZ1:BU1" si="0">AY1+3</f>
        <v>153</v>
      </c>
      <c r="BA1">
        <f t="shared" si="0"/>
        <v>156</v>
      </c>
      <c r="BB1">
        <f t="shared" si="0"/>
        <v>159</v>
      </c>
      <c r="BC1">
        <f t="shared" si="0"/>
        <v>162</v>
      </c>
      <c r="BD1">
        <f t="shared" si="0"/>
        <v>165</v>
      </c>
      <c r="BE1">
        <f t="shared" si="0"/>
        <v>168</v>
      </c>
      <c r="BF1">
        <f t="shared" si="0"/>
        <v>171</v>
      </c>
      <c r="BG1">
        <f t="shared" si="0"/>
        <v>174</v>
      </c>
      <c r="BH1">
        <f t="shared" si="0"/>
        <v>177</v>
      </c>
      <c r="BI1">
        <f t="shared" si="0"/>
        <v>180</v>
      </c>
      <c r="BJ1">
        <f t="shared" si="0"/>
        <v>183</v>
      </c>
      <c r="BK1">
        <f t="shared" si="0"/>
        <v>186</v>
      </c>
      <c r="BL1">
        <f t="shared" si="0"/>
        <v>189</v>
      </c>
      <c r="BM1">
        <f t="shared" si="0"/>
        <v>192</v>
      </c>
      <c r="BN1">
        <f t="shared" si="0"/>
        <v>195</v>
      </c>
      <c r="BO1">
        <f t="shared" si="0"/>
        <v>198</v>
      </c>
      <c r="BP1">
        <f t="shared" si="0"/>
        <v>201</v>
      </c>
      <c r="BQ1">
        <f t="shared" si="0"/>
        <v>204</v>
      </c>
      <c r="BR1">
        <f t="shared" si="0"/>
        <v>207</v>
      </c>
      <c r="BS1">
        <f t="shared" si="0"/>
        <v>210</v>
      </c>
      <c r="BT1">
        <f t="shared" si="0"/>
        <v>213</v>
      </c>
      <c r="BU1">
        <f t="shared" si="0"/>
        <v>216</v>
      </c>
      <c r="BV1">
        <f>BU1+1.5</f>
        <v>217.5</v>
      </c>
      <c r="BW1">
        <f t="shared" ref="BW1:CV1" si="1">BV1+1.5</f>
        <v>219</v>
      </c>
      <c r="BX1">
        <f t="shared" si="1"/>
        <v>220.5</v>
      </c>
      <c r="BY1">
        <f t="shared" si="1"/>
        <v>222</v>
      </c>
      <c r="BZ1">
        <f t="shared" si="1"/>
        <v>223.5</v>
      </c>
      <c r="CA1">
        <f t="shared" si="1"/>
        <v>225</v>
      </c>
      <c r="CB1">
        <f t="shared" si="1"/>
        <v>226.5</v>
      </c>
      <c r="CC1">
        <f t="shared" si="1"/>
        <v>228</v>
      </c>
      <c r="CD1">
        <f t="shared" si="1"/>
        <v>229.5</v>
      </c>
      <c r="CE1">
        <f t="shared" si="1"/>
        <v>231</v>
      </c>
      <c r="CF1">
        <f t="shared" si="1"/>
        <v>232.5</v>
      </c>
      <c r="CG1">
        <f t="shared" si="1"/>
        <v>234</v>
      </c>
      <c r="CH1">
        <f t="shared" si="1"/>
        <v>235.5</v>
      </c>
      <c r="CI1">
        <f t="shared" si="1"/>
        <v>237</v>
      </c>
      <c r="CJ1">
        <f t="shared" si="1"/>
        <v>238.5</v>
      </c>
      <c r="CK1">
        <f t="shared" si="1"/>
        <v>240</v>
      </c>
      <c r="CL1">
        <f t="shared" si="1"/>
        <v>241.5</v>
      </c>
      <c r="CM1">
        <f t="shared" si="1"/>
        <v>243</v>
      </c>
      <c r="CN1">
        <f t="shared" si="1"/>
        <v>244.5</v>
      </c>
      <c r="CO1">
        <f t="shared" si="1"/>
        <v>246</v>
      </c>
      <c r="CP1">
        <f t="shared" si="1"/>
        <v>247.5</v>
      </c>
      <c r="CQ1">
        <f t="shared" si="1"/>
        <v>249</v>
      </c>
      <c r="CR1">
        <f t="shared" si="1"/>
        <v>250.5</v>
      </c>
      <c r="CS1">
        <f t="shared" si="1"/>
        <v>252</v>
      </c>
      <c r="CT1">
        <f t="shared" si="1"/>
        <v>253.5</v>
      </c>
      <c r="CU1">
        <f t="shared" si="1"/>
        <v>255</v>
      </c>
      <c r="CV1">
        <f t="shared" si="1"/>
        <v>256.5</v>
      </c>
      <c r="CW1" t="s">
        <v>155</v>
      </c>
    </row>
    <row r="2" spans="1:102" x14ac:dyDescent="0.25">
      <c r="A2" t="str">
        <f t="shared" ref="A2:A8" si="2">combine(B2:CW2)</f>
        <v>characterIntelligence,5.000000;10;15;20;25;30;35;40;45;50;55;60;65;70;75;80;85;90;95;100;105;110;115;120;125;130;135;140;145;150;155;160;165;170;175;180;185;190;195;200;205;210;215;220;225;230;235;240;245;250;255;260;265;270;275;280;285;290;295;300;305;310;315;320;325;330;335;340;345;350;355;360;362.5;365;367.5;370;372.5;375;377.5;380;382.5;385;387.5;390;392.5;395;397.5;400;402.5;405;407.5;410;412.5;415;417.5;420;422.5;425;427.5;430,</v>
      </c>
      <c r="B2" t="s">
        <v>81</v>
      </c>
      <c r="C2">
        <v>10</v>
      </c>
      <c r="D2">
        <v>15</v>
      </c>
      <c r="E2">
        <v>20</v>
      </c>
      <c r="F2">
        <v>25</v>
      </c>
      <c r="G2">
        <v>30</v>
      </c>
      <c r="H2">
        <v>35</v>
      </c>
      <c r="I2">
        <v>40</v>
      </c>
      <c r="J2">
        <v>45</v>
      </c>
      <c r="K2">
        <v>50</v>
      </c>
      <c r="L2">
        <v>55</v>
      </c>
      <c r="M2">
        <v>60</v>
      </c>
      <c r="N2">
        <v>65</v>
      </c>
      <c r="O2">
        <v>70</v>
      </c>
      <c r="P2">
        <v>75</v>
      </c>
      <c r="Q2">
        <v>80</v>
      </c>
      <c r="R2">
        <v>85</v>
      </c>
      <c r="S2">
        <v>90</v>
      </c>
      <c r="T2">
        <v>95</v>
      </c>
      <c r="U2">
        <v>100</v>
      </c>
      <c r="V2">
        <v>105</v>
      </c>
      <c r="W2">
        <v>110</v>
      </c>
      <c r="X2">
        <v>115</v>
      </c>
      <c r="Y2">
        <v>120</v>
      </c>
      <c r="Z2">
        <v>125</v>
      </c>
      <c r="AA2">
        <v>130</v>
      </c>
      <c r="AB2">
        <v>135</v>
      </c>
      <c r="AC2">
        <v>140</v>
      </c>
      <c r="AD2">
        <v>145</v>
      </c>
      <c r="AE2">
        <v>150</v>
      </c>
      <c r="AF2">
        <v>155</v>
      </c>
      <c r="AG2">
        <v>160</v>
      </c>
      <c r="AH2">
        <v>165</v>
      </c>
      <c r="AI2">
        <v>170</v>
      </c>
      <c r="AJ2">
        <v>175</v>
      </c>
      <c r="AK2">
        <v>180</v>
      </c>
      <c r="AL2">
        <v>185</v>
      </c>
      <c r="AM2">
        <v>190</v>
      </c>
      <c r="AN2">
        <v>195</v>
      </c>
      <c r="AO2">
        <v>200</v>
      </c>
      <c r="AP2">
        <v>205</v>
      </c>
      <c r="AQ2">
        <v>210</v>
      </c>
      <c r="AR2">
        <v>215</v>
      </c>
      <c r="AS2">
        <v>220</v>
      </c>
      <c r="AT2">
        <v>225</v>
      </c>
      <c r="AU2">
        <v>230</v>
      </c>
      <c r="AV2">
        <v>235</v>
      </c>
      <c r="AW2">
        <v>240</v>
      </c>
      <c r="AX2">
        <v>245</v>
      </c>
      <c r="AY2">
        <f>AX2+5</f>
        <v>250</v>
      </c>
      <c r="AZ2">
        <f t="shared" ref="AZ2:BU2" si="3">AY2+5</f>
        <v>255</v>
      </c>
      <c r="BA2">
        <f t="shared" si="3"/>
        <v>260</v>
      </c>
      <c r="BB2">
        <f t="shared" si="3"/>
        <v>265</v>
      </c>
      <c r="BC2">
        <f t="shared" si="3"/>
        <v>270</v>
      </c>
      <c r="BD2">
        <f t="shared" si="3"/>
        <v>275</v>
      </c>
      <c r="BE2">
        <f t="shared" si="3"/>
        <v>280</v>
      </c>
      <c r="BF2">
        <f t="shared" si="3"/>
        <v>285</v>
      </c>
      <c r="BG2">
        <f t="shared" si="3"/>
        <v>290</v>
      </c>
      <c r="BH2">
        <f t="shared" si="3"/>
        <v>295</v>
      </c>
      <c r="BI2">
        <f t="shared" si="3"/>
        <v>300</v>
      </c>
      <c r="BJ2">
        <f t="shared" si="3"/>
        <v>305</v>
      </c>
      <c r="BK2">
        <f t="shared" si="3"/>
        <v>310</v>
      </c>
      <c r="BL2">
        <f t="shared" si="3"/>
        <v>315</v>
      </c>
      <c r="BM2">
        <f t="shared" si="3"/>
        <v>320</v>
      </c>
      <c r="BN2">
        <f t="shared" si="3"/>
        <v>325</v>
      </c>
      <c r="BO2">
        <f t="shared" si="3"/>
        <v>330</v>
      </c>
      <c r="BP2">
        <f t="shared" si="3"/>
        <v>335</v>
      </c>
      <c r="BQ2">
        <f t="shared" si="3"/>
        <v>340</v>
      </c>
      <c r="BR2">
        <f t="shared" si="3"/>
        <v>345</v>
      </c>
      <c r="BS2">
        <f t="shared" si="3"/>
        <v>350</v>
      </c>
      <c r="BT2">
        <f t="shared" si="3"/>
        <v>355</v>
      </c>
      <c r="BU2">
        <f t="shared" si="3"/>
        <v>360</v>
      </c>
      <c r="BV2">
        <f>BU2+2.5</f>
        <v>362.5</v>
      </c>
      <c r="BW2">
        <f t="shared" ref="BW2:CV2" si="4">BV2+2.5</f>
        <v>365</v>
      </c>
      <c r="BX2">
        <f t="shared" si="4"/>
        <v>367.5</v>
      </c>
      <c r="BY2">
        <f t="shared" si="4"/>
        <v>370</v>
      </c>
      <c r="BZ2">
        <f t="shared" si="4"/>
        <v>372.5</v>
      </c>
      <c r="CA2">
        <f t="shared" si="4"/>
        <v>375</v>
      </c>
      <c r="CB2">
        <f t="shared" si="4"/>
        <v>377.5</v>
      </c>
      <c r="CC2">
        <f t="shared" si="4"/>
        <v>380</v>
      </c>
      <c r="CD2">
        <f t="shared" si="4"/>
        <v>382.5</v>
      </c>
      <c r="CE2">
        <f t="shared" si="4"/>
        <v>385</v>
      </c>
      <c r="CF2">
        <f t="shared" si="4"/>
        <v>387.5</v>
      </c>
      <c r="CG2">
        <f t="shared" si="4"/>
        <v>390</v>
      </c>
      <c r="CH2">
        <f t="shared" si="4"/>
        <v>392.5</v>
      </c>
      <c r="CI2">
        <f t="shared" si="4"/>
        <v>395</v>
      </c>
      <c r="CJ2">
        <f t="shared" si="4"/>
        <v>397.5</v>
      </c>
      <c r="CK2">
        <f t="shared" si="4"/>
        <v>400</v>
      </c>
      <c r="CL2">
        <f t="shared" si="4"/>
        <v>402.5</v>
      </c>
      <c r="CM2">
        <f t="shared" si="4"/>
        <v>405</v>
      </c>
      <c r="CN2">
        <f t="shared" si="4"/>
        <v>407.5</v>
      </c>
      <c r="CO2">
        <f t="shared" si="4"/>
        <v>410</v>
      </c>
      <c r="CP2">
        <f t="shared" si="4"/>
        <v>412.5</v>
      </c>
      <c r="CQ2">
        <f t="shared" si="4"/>
        <v>415</v>
      </c>
      <c r="CR2">
        <f t="shared" si="4"/>
        <v>417.5</v>
      </c>
      <c r="CS2">
        <f t="shared" si="4"/>
        <v>420</v>
      </c>
      <c r="CT2">
        <f t="shared" si="4"/>
        <v>422.5</v>
      </c>
      <c r="CU2">
        <f t="shared" si="4"/>
        <v>425</v>
      </c>
      <c r="CV2">
        <f t="shared" si="4"/>
        <v>427.5</v>
      </c>
      <c r="CW2" t="s">
        <v>164</v>
      </c>
    </row>
    <row r="3" spans="1:102" x14ac:dyDescent="0.25">
      <c r="A3" t="str">
        <f t="shared" si="2"/>
        <v>characterLife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1450;1460;1470;1480;1490;1500;1510;1520;1530;1540;1550;1560;1570;1580;1590;1600;1610;1620;1630;1640;1650;1660;1670;1680;1690;1700;1710;1720,</v>
      </c>
      <c r="B3" t="s">
        <v>83</v>
      </c>
      <c r="C3">
        <v>40</v>
      </c>
      <c r="D3">
        <v>60</v>
      </c>
      <c r="E3">
        <v>80</v>
      </c>
      <c r="F3">
        <v>100</v>
      </c>
      <c r="G3">
        <v>120</v>
      </c>
      <c r="H3">
        <v>140</v>
      </c>
      <c r="I3">
        <v>160</v>
      </c>
      <c r="J3">
        <v>180</v>
      </c>
      <c r="K3">
        <v>200</v>
      </c>
      <c r="L3">
        <v>220</v>
      </c>
      <c r="M3">
        <v>240</v>
      </c>
      <c r="N3">
        <v>260</v>
      </c>
      <c r="O3">
        <v>280</v>
      </c>
      <c r="P3">
        <v>300</v>
      </c>
      <c r="Q3">
        <v>320</v>
      </c>
      <c r="R3">
        <v>340</v>
      </c>
      <c r="S3">
        <v>360</v>
      </c>
      <c r="T3">
        <v>380</v>
      </c>
      <c r="U3">
        <v>400</v>
      </c>
      <c r="V3">
        <v>420</v>
      </c>
      <c r="W3">
        <v>440</v>
      </c>
      <c r="X3">
        <v>460</v>
      </c>
      <c r="Y3">
        <v>480</v>
      </c>
      <c r="Z3">
        <v>500</v>
      </c>
      <c r="AA3">
        <v>520</v>
      </c>
      <c r="AB3">
        <v>540</v>
      </c>
      <c r="AC3">
        <v>560</v>
      </c>
      <c r="AD3">
        <v>580</v>
      </c>
      <c r="AE3">
        <v>600</v>
      </c>
      <c r="AF3">
        <v>620</v>
      </c>
      <c r="AG3">
        <v>640</v>
      </c>
      <c r="AH3">
        <v>660</v>
      </c>
      <c r="AI3">
        <v>680</v>
      </c>
      <c r="AJ3">
        <v>700</v>
      </c>
      <c r="AK3">
        <v>720</v>
      </c>
      <c r="AL3">
        <v>740</v>
      </c>
      <c r="AM3">
        <v>760</v>
      </c>
      <c r="AN3">
        <v>780</v>
      </c>
      <c r="AO3">
        <v>800</v>
      </c>
      <c r="AP3">
        <v>820</v>
      </c>
      <c r="AQ3">
        <v>840</v>
      </c>
      <c r="AR3">
        <v>860</v>
      </c>
      <c r="AS3">
        <v>880</v>
      </c>
      <c r="AT3">
        <v>900</v>
      </c>
      <c r="AU3">
        <v>920</v>
      </c>
      <c r="AV3">
        <v>940</v>
      </c>
      <c r="AW3">
        <v>960</v>
      </c>
      <c r="AX3">
        <v>980</v>
      </c>
      <c r="AY3">
        <f>AX3+20</f>
        <v>1000</v>
      </c>
      <c r="AZ3">
        <f t="shared" ref="AZ3:BU3" si="5">AY3+20</f>
        <v>1020</v>
      </c>
      <c r="BA3">
        <f t="shared" si="5"/>
        <v>1040</v>
      </c>
      <c r="BB3">
        <f t="shared" si="5"/>
        <v>1060</v>
      </c>
      <c r="BC3">
        <f t="shared" si="5"/>
        <v>1080</v>
      </c>
      <c r="BD3">
        <f t="shared" si="5"/>
        <v>1100</v>
      </c>
      <c r="BE3">
        <f t="shared" si="5"/>
        <v>1120</v>
      </c>
      <c r="BF3">
        <f t="shared" si="5"/>
        <v>1140</v>
      </c>
      <c r="BG3">
        <f t="shared" si="5"/>
        <v>1160</v>
      </c>
      <c r="BH3">
        <f t="shared" si="5"/>
        <v>1180</v>
      </c>
      <c r="BI3">
        <f t="shared" si="5"/>
        <v>1200</v>
      </c>
      <c r="BJ3">
        <f t="shared" si="5"/>
        <v>1220</v>
      </c>
      <c r="BK3">
        <f t="shared" si="5"/>
        <v>1240</v>
      </c>
      <c r="BL3">
        <f t="shared" si="5"/>
        <v>1260</v>
      </c>
      <c r="BM3">
        <f t="shared" si="5"/>
        <v>1280</v>
      </c>
      <c r="BN3">
        <f t="shared" si="5"/>
        <v>1300</v>
      </c>
      <c r="BO3">
        <f t="shared" si="5"/>
        <v>1320</v>
      </c>
      <c r="BP3">
        <f t="shared" si="5"/>
        <v>1340</v>
      </c>
      <c r="BQ3">
        <f t="shared" si="5"/>
        <v>1360</v>
      </c>
      <c r="BR3">
        <f t="shared" si="5"/>
        <v>1380</v>
      </c>
      <c r="BS3">
        <f t="shared" si="5"/>
        <v>1400</v>
      </c>
      <c r="BT3">
        <f t="shared" si="5"/>
        <v>1420</v>
      </c>
      <c r="BU3">
        <f t="shared" si="5"/>
        <v>1440</v>
      </c>
      <c r="BV3">
        <f>BU3+10</f>
        <v>1450</v>
      </c>
      <c r="BW3">
        <f t="shared" ref="BW3:CV3" si="6">BV3+10</f>
        <v>1460</v>
      </c>
      <c r="BX3">
        <f t="shared" si="6"/>
        <v>1470</v>
      </c>
      <c r="BY3">
        <f t="shared" si="6"/>
        <v>1480</v>
      </c>
      <c r="BZ3">
        <f t="shared" si="6"/>
        <v>1490</v>
      </c>
      <c r="CA3">
        <f t="shared" si="6"/>
        <v>1500</v>
      </c>
      <c r="CB3">
        <f t="shared" si="6"/>
        <v>1510</v>
      </c>
      <c r="CC3">
        <f t="shared" si="6"/>
        <v>1520</v>
      </c>
      <c r="CD3">
        <f t="shared" si="6"/>
        <v>1530</v>
      </c>
      <c r="CE3">
        <f t="shared" si="6"/>
        <v>1540</v>
      </c>
      <c r="CF3">
        <f t="shared" si="6"/>
        <v>1550</v>
      </c>
      <c r="CG3">
        <f t="shared" si="6"/>
        <v>1560</v>
      </c>
      <c r="CH3">
        <f t="shared" si="6"/>
        <v>1570</v>
      </c>
      <c r="CI3">
        <f t="shared" si="6"/>
        <v>1580</v>
      </c>
      <c r="CJ3">
        <f t="shared" si="6"/>
        <v>1590</v>
      </c>
      <c r="CK3">
        <f t="shared" si="6"/>
        <v>1600</v>
      </c>
      <c r="CL3">
        <f t="shared" si="6"/>
        <v>1610</v>
      </c>
      <c r="CM3">
        <f t="shared" si="6"/>
        <v>1620</v>
      </c>
      <c r="CN3">
        <f t="shared" si="6"/>
        <v>1630</v>
      </c>
      <c r="CO3">
        <f t="shared" si="6"/>
        <v>1640</v>
      </c>
      <c r="CP3">
        <f t="shared" si="6"/>
        <v>1650</v>
      </c>
      <c r="CQ3">
        <f t="shared" si="6"/>
        <v>1660</v>
      </c>
      <c r="CR3">
        <f t="shared" si="6"/>
        <v>1670</v>
      </c>
      <c r="CS3">
        <f t="shared" si="6"/>
        <v>1680</v>
      </c>
      <c r="CT3">
        <f t="shared" si="6"/>
        <v>1690</v>
      </c>
      <c r="CU3">
        <f t="shared" si="6"/>
        <v>1700</v>
      </c>
      <c r="CV3">
        <f t="shared" si="6"/>
        <v>1710</v>
      </c>
      <c r="CW3" t="s">
        <v>157</v>
      </c>
    </row>
    <row r="4" spans="1:102" x14ac:dyDescent="0.25">
      <c r="A4" t="str">
        <f t="shared" si="2"/>
        <v>characterMana,32.000000;64;96;128;160;192;224;256;288;320;352;384;416;448;480;512;544;576;608;640;672;704;736;768;800;832;864;896;928;960;992;1024;1056;1088;1120;1152;1184;1216;1248;1280;1312;1344;1376;1408;1440;1472;1504;1536;1568;1600;1632;1664;1696;1728;1760;1792;1824;1856;1888;1920;1952;1984;2016;2048;2080;2112;2144;2176;2208;2240;2272;2304;2320;2336;2352;2368;2384;2400;2416;2432;2448;2464;2480;2496;2512;2528;2544;2560;2576;2592;2608;2624;2640;2656;2672;2688;2704;2720;2736;2752,</v>
      </c>
      <c r="B4" t="s">
        <v>163</v>
      </c>
      <c r="C4">
        <v>64</v>
      </c>
      <c r="D4">
        <v>96</v>
      </c>
      <c r="E4">
        <v>128</v>
      </c>
      <c r="F4">
        <v>160</v>
      </c>
      <c r="G4">
        <v>192</v>
      </c>
      <c r="H4">
        <v>224</v>
      </c>
      <c r="I4">
        <v>256</v>
      </c>
      <c r="J4">
        <v>288</v>
      </c>
      <c r="K4">
        <v>320</v>
      </c>
      <c r="L4">
        <v>352</v>
      </c>
      <c r="M4">
        <v>384</v>
      </c>
      <c r="N4">
        <v>416</v>
      </c>
      <c r="O4">
        <v>448</v>
      </c>
      <c r="P4">
        <v>480</v>
      </c>
      <c r="Q4">
        <v>512</v>
      </c>
      <c r="R4">
        <v>544</v>
      </c>
      <c r="S4">
        <v>576</v>
      </c>
      <c r="T4">
        <v>608</v>
      </c>
      <c r="U4">
        <v>640</v>
      </c>
      <c r="V4">
        <v>672</v>
      </c>
      <c r="W4">
        <v>704</v>
      </c>
      <c r="X4">
        <v>736</v>
      </c>
      <c r="Y4">
        <v>768</v>
      </c>
      <c r="Z4">
        <v>800</v>
      </c>
      <c r="AA4">
        <v>832</v>
      </c>
      <c r="AB4">
        <v>864</v>
      </c>
      <c r="AC4">
        <v>896</v>
      </c>
      <c r="AD4">
        <v>928</v>
      </c>
      <c r="AE4">
        <v>960</v>
      </c>
      <c r="AF4">
        <v>992</v>
      </c>
      <c r="AG4">
        <v>1024</v>
      </c>
      <c r="AH4">
        <v>1056</v>
      </c>
      <c r="AI4">
        <v>1088</v>
      </c>
      <c r="AJ4">
        <v>1120</v>
      </c>
      <c r="AK4">
        <v>1152</v>
      </c>
      <c r="AL4">
        <v>1184</v>
      </c>
      <c r="AM4">
        <v>1216</v>
      </c>
      <c r="AN4">
        <v>1248</v>
      </c>
      <c r="AO4">
        <v>1280</v>
      </c>
      <c r="AP4">
        <v>1312</v>
      </c>
      <c r="AQ4">
        <v>1344</v>
      </c>
      <c r="AR4">
        <v>1376</v>
      </c>
      <c r="AS4">
        <v>1408</v>
      </c>
      <c r="AT4">
        <v>1440</v>
      </c>
      <c r="AU4">
        <v>1472</v>
      </c>
      <c r="AV4">
        <v>1504</v>
      </c>
      <c r="AW4">
        <v>1536</v>
      </c>
      <c r="AX4">
        <v>1568</v>
      </c>
      <c r="AY4">
        <f>AX4+32</f>
        <v>1600</v>
      </c>
      <c r="AZ4">
        <f t="shared" ref="AZ4:BU4" si="7">AY4+32</f>
        <v>1632</v>
      </c>
      <c r="BA4">
        <f t="shared" si="7"/>
        <v>1664</v>
      </c>
      <c r="BB4">
        <f t="shared" si="7"/>
        <v>1696</v>
      </c>
      <c r="BC4">
        <f t="shared" si="7"/>
        <v>1728</v>
      </c>
      <c r="BD4">
        <f t="shared" si="7"/>
        <v>1760</v>
      </c>
      <c r="BE4">
        <f t="shared" si="7"/>
        <v>1792</v>
      </c>
      <c r="BF4">
        <f t="shared" si="7"/>
        <v>1824</v>
      </c>
      <c r="BG4">
        <f t="shared" si="7"/>
        <v>1856</v>
      </c>
      <c r="BH4">
        <f t="shared" si="7"/>
        <v>1888</v>
      </c>
      <c r="BI4">
        <f t="shared" si="7"/>
        <v>1920</v>
      </c>
      <c r="BJ4">
        <f t="shared" si="7"/>
        <v>1952</v>
      </c>
      <c r="BK4">
        <f t="shared" si="7"/>
        <v>1984</v>
      </c>
      <c r="BL4">
        <f t="shared" si="7"/>
        <v>2016</v>
      </c>
      <c r="BM4">
        <f t="shared" si="7"/>
        <v>2048</v>
      </c>
      <c r="BN4">
        <f t="shared" si="7"/>
        <v>2080</v>
      </c>
      <c r="BO4">
        <f t="shared" si="7"/>
        <v>2112</v>
      </c>
      <c r="BP4">
        <f t="shared" si="7"/>
        <v>2144</v>
      </c>
      <c r="BQ4">
        <f t="shared" si="7"/>
        <v>2176</v>
      </c>
      <c r="BR4">
        <f t="shared" si="7"/>
        <v>2208</v>
      </c>
      <c r="BS4">
        <f t="shared" si="7"/>
        <v>2240</v>
      </c>
      <c r="BT4">
        <f t="shared" si="7"/>
        <v>2272</v>
      </c>
      <c r="BU4">
        <f t="shared" si="7"/>
        <v>2304</v>
      </c>
      <c r="BV4">
        <f>BU4+16</f>
        <v>2320</v>
      </c>
      <c r="BW4">
        <f t="shared" ref="BW4:CV4" si="8">BV4+16</f>
        <v>2336</v>
      </c>
      <c r="BX4">
        <f t="shared" si="8"/>
        <v>2352</v>
      </c>
      <c r="BY4">
        <f t="shared" si="8"/>
        <v>2368</v>
      </c>
      <c r="BZ4">
        <f t="shared" si="8"/>
        <v>2384</v>
      </c>
      <c r="CA4">
        <f t="shared" si="8"/>
        <v>2400</v>
      </c>
      <c r="CB4">
        <f t="shared" si="8"/>
        <v>2416</v>
      </c>
      <c r="CC4">
        <f t="shared" si="8"/>
        <v>2432</v>
      </c>
      <c r="CD4">
        <f t="shared" si="8"/>
        <v>2448</v>
      </c>
      <c r="CE4">
        <f t="shared" si="8"/>
        <v>2464</v>
      </c>
      <c r="CF4">
        <f t="shared" si="8"/>
        <v>2480</v>
      </c>
      <c r="CG4">
        <f t="shared" si="8"/>
        <v>2496</v>
      </c>
      <c r="CH4">
        <f t="shared" si="8"/>
        <v>2512</v>
      </c>
      <c r="CI4">
        <f t="shared" si="8"/>
        <v>2528</v>
      </c>
      <c r="CJ4">
        <f t="shared" si="8"/>
        <v>2544</v>
      </c>
      <c r="CK4">
        <f t="shared" si="8"/>
        <v>2560</v>
      </c>
      <c r="CL4">
        <f t="shared" si="8"/>
        <v>2576</v>
      </c>
      <c r="CM4">
        <f t="shared" si="8"/>
        <v>2592</v>
      </c>
      <c r="CN4">
        <f t="shared" si="8"/>
        <v>2608</v>
      </c>
      <c r="CO4">
        <f t="shared" si="8"/>
        <v>2624</v>
      </c>
      <c r="CP4">
        <f t="shared" si="8"/>
        <v>2640</v>
      </c>
      <c r="CQ4">
        <f t="shared" si="8"/>
        <v>2656</v>
      </c>
      <c r="CR4">
        <f t="shared" si="8"/>
        <v>2672</v>
      </c>
      <c r="CS4">
        <f t="shared" si="8"/>
        <v>2688</v>
      </c>
      <c r="CT4">
        <f t="shared" si="8"/>
        <v>2704</v>
      </c>
      <c r="CU4">
        <f t="shared" si="8"/>
        <v>2720</v>
      </c>
      <c r="CV4">
        <f t="shared" si="8"/>
        <v>2736</v>
      </c>
      <c r="CW4" t="s">
        <v>165</v>
      </c>
    </row>
    <row r="5" spans="1:102" x14ac:dyDescent="0.25">
      <c r="A5" t="str">
        <f t="shared" si="2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5" t="s">
        <v>56</v>
      </c>
      <c r="C5">
        <v>6</v>
      </c>
      <c r="D5">
        <v>9</v>
      </c>
      <c r="E5">
        <v>12</v>
      </c>
      <c r="F5">
        <v>15</v>
      </c>
      <c r="G5">
        <v>18</v>
      </c>
      <c r="H5">
        <v>21</v>
      </c>
      <c r="I5">
        <v>24</v>
      </c>
      <c r="J5">
        <v>27</v>
      </c>
      <c r="K5">
        <v>30</v>
      </c>
      <c r="L5">
        <v>33</v>
      </c>
      <c r="M5">
        <v>36</v>
      </c>
      <c r="N5">
        <v>39</v>
      </c>
      <c r="O5">
        <v>42</v>
      </c>
      <c r="P5">
        <v>45</v>
      </c>
      <c r="Q5">
        <v>48</v>
      </c>
      <c r="R5">
        <v>51</v>
      </c>
      <c r="S5">
        <v>54</v>
      </c>
      <c r="T5">
        <v>57</v>
      </c>
      <c r="U5">
        <v>60</v>
      </c>
      <c r="V5">
        <v>63</v>
      </c>
      <c r="W5">
        <v>66</v>
      </c>
      <c r="X5">
        <v>69</v>
      </c>
      <c r="Y5">
        <v>72</v>
      </c>
      <c r="Z5">
        <v>75</v>
      </c>
      <c r="AA5">
        <v>78</v>
      </c>
      <c r="AB5">
        <v>81</v>
      </c>
      <c r="AC5">
        <v>84</v>
      </c>
      <c r="AD5">
        <v>87</v>
      </c>
      <c r="AE5">
        <v>90</v>
      </c>
      <c r="AF5">
        <v>93</v>
      </c>
      <c r="AG5">
        <v>96</v>
      </c>
      <c r="AH5">
        <v>99</v>
      </c>
      <c r="AI5">
        <v>102</v>
      </c>
      <c r="AJ5">
        <v>105</v>
      </c>
      <c r="AK5">
        <v>108</v>
      </c>
      <c r="AL5">
        <v>111</v>
      </c>
      <c r="AM5">
        <v>114</v>
      </c>
      <c r="AN5">
        <v>117</v>
      </c>
      <c r="AO5">
        <v>120</v>
      </c>
      <c r="AP5">
        <v>123</v>
      </c>
      <c r="AQ5">
        <v>126</v>
      </c>
      <c r="AR5">
        <v>129</v>
      </c>
      <c r="AS5">
        <v>132</v>
      </c>
      <c r="AT5">
        <v>135</v>
      </c>
      <c r="AU5">
        <v>138</v>
      </c>
      <c r="AV5">
        <v>141</v>
      </c>
      <c r="AW5">
        <v>144</v>
      </c>
      <c r="AX5">
        <v>147</v>
      </c>
      <c r="AY5">
        <f>AX5+3</f>
        <v>150</v>
      </c>
      <c r="AZ5">
        <f t="shared" ref="AZ5:BU5" si="9">AY5+3</f>
        <v>153</v>
      </c>
      <c r="BA5">
        <f t="shared" si="9"/>
        <v>156</v>
      </c>
      <c r="BB5">
        <f t="shared" si="9"/>
        <v>159</v>
      </c>
      <c r="BC5">
        <f t="shared" si="9"/>
        <v>162</v>
      </c>
      <c r="BD5">
        <f t="shared" si="9"/>
        <v>165</v>
      </c>
      <c r="BE5">
        <f t="shared" si="9"/>
        <v>168</v>
      </c>
      <c r="BF5">
        <f t="shared" si="9"/>
        <v>171</v>
      </c>
      <c r="BG5">
        <f t="shared" si="9"/>
        <v>174</v>
      </c>
      <c r="BH5">
        <f t="shared" si="9"/>
        <v>177</v>
      </c>
      <c r="BI5">
        <f t="shared" si="9"/>
        <v>180</v>
      </c>
      <c r="BJ5">
        <f t="shared" si="9"/>
        <v>183</v>
      </c>
      <c r="BK5">
        <f t="shared" si="9"/>
        <v>186</v>
      </c>
      <c r="BL5">
        <f t="shared" si="9"/>
        <v>189</v>
      </c>
      <c r="BM5">
        <f t="shared" si="9"/>
        <v>192</v>
      </c>
      <c r="BN5">
        <f t="shared" si="9"/>
        <v>195</v>
      </c>
      <c r="BO5">
        <f t="shared" si="9"/>
        <v>198</v>
      </c>
      <c r="BP5">
        <f t="shared" si="9"/>
        <v>201</v>
      </c>
      <c r="BQ5">
        <f t="shared" si="9"/>
        <v>204</v>
      </c>
      <c r="BR5">
        <f t="shared" si="9"/>
        <v>207</v>
      </c>
      <c r="BS5">
        <f t="shared" si="9"/>
        <v>210</v>
      </c>
      <c r="BT5">
        <f t="shared" si="9"/>
        <v>213</v>
      </c>
      <c r="BU5">
        <f t="shared" si="9"/>
        <v>216</v>
      </c>
      <c r="BV5">
        <f>BU5+1.5</f>
        <v>217.5</v>
      </c>
      <c r="BW5">
        <f t="shared" ref="BW5:CV5" si="10">BV5+1.5</f>
        <v>219</v>
      </c>
      <c r="BX5">
        <f t="shared" si="10"/>
        <v>220.5</v>
      </c>
      <c r="BY5">
        <f t="shared" si="10"/>
        <v>222</v>
      </c>
      <c r="BZ5">
        <f t="shared" si="10"/>
        <v>223.5</v>
      </c>
      <c r="CA5">
        <f t="shared" si="10"/>
        <v>225</v>
      </c>
      <c r="CB5">
        <f t="shared" si="10"/>
        <v>226.5</v>
      </c>
      <c r="CC5">
        <f t="shared" si="10"/>
        <v>228</v>
      </c>
      <c r="CD5">
        <f t="shared" si="10"/>
        <v>229.5</v>
      </c>
      <c r="CE5">
        <f t="shared" si="10"/>
        <v>231</v>
      </c>
      <c r="CF5">
        <f t="shared" si="10"/>
        <v>232.5</v>
      </c>
      <c r="CG5">
        <f t="shared" si="10"/>
        <v>234</v>
      </c>
      <c r="CH5">
        <f t="shared" si="10"/>
        <v>235.5</v>
      </c>
      <c r="CI5">
        <f t="shared" si="10"/>
        <v>237</v>
      </c>
      <c r="CJ5">
        <f t="shared" si="10"/>
        <v>238.5</v>
      </c>
      <c r="CK5">
        <f t="shared" si="10"/>
        <v>240</v>
      </c>
      <c r="CL5">
        <f t="shared" si="10"/>
        <v>241.5</v>
      </c>
      <c r="CM5">
        <f t="shared" si="10"/>
        <v>243</v>
      </c>
      <c r="CN5">
        <f t="shared" si="10"/>
        <v>244.5</v>
      </c>
      <c r="CO5">
        <f t="shared" si="10"/>
        <v>246</v>
      </c>
      <c r="CP5">
        <f t="shared" si="10"/>
        <v>247.5</v>
      </c>
      <c r="CQ5">
        <f t="shared" si="10"/>
        <v>249</v>
      </c>
      <c r="CR5">
        <f t="shared" si="10"/>
        <v>250.5</v>
      </c>
      <c r="CS5">
        <f t="shared" si="10"/>
        <v>252</v>
      </c>
      <c r="CT5">
        <f t="shared" si="10"/>
        <v>253.5</v>
      </c>
      <c r="CU5">
        <f t="shared" si="10"/>
        <v>255</v>
      </c>
      <c r="CV5">
        <f t="shared" si="10"/>
        <v>256.5</v>
      </c>
      <c r="CW5" t="s">
        <v>155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0.5</v>
      </c>
      <c r="BA6">
        <v>1</v>
      </c>
      <c r="BB6">
        <v>1.5</v>
      </c>
      <c r="BC6">
        <v>2</v>
      </c>
      <c r="BD6">
        <v>2.5</v>
      </c>
      <c r="BE6">
        <v>3</v>
      </c>
      <c r="BF6">
        <v>3.5</v>
      </c>
      <c r="BG6">
        <v>4</v>
      </c>
      <c r="BH6">
        <v>4.5</v>
      </c>
      <c r="BI6">
        <v>5</v>
      </c>
      <c r="BJ6">
        <v>5.5</v>
      </c>
      <c r="BK6">
        <v>6</v>
      </c>
      <c r="BL6">
        <v>6.5</v>
      </c>
      <c r="BM6">
        <v>7</v>
      </c>
      <c r="BN6">
        <v>7.5</v>
      </c>
      <c r="BO6">
        <v>8</v>
      </c>
      <c r="BP6">
        <v>8.5</v>
      </c>
      <c r="BQ6">
        <v>9</v>
      </c>
      <c r="BR6">
        <v>9</v>
      </c>
      <c r="BS6">
        <v>9.5</v>
      </c>
      <c r="BT6">
        <v>9.5</v>
      </c>
      <c r="BU6">
        <v>10</v>
      </c>
      <c r="BV6">
        <f>BU6+0.25</f>
        <v>10.25</v>
      </c>
      <c r="BW6">
        <f t="shared" ref="BW6:CV6" si="11">BV6+0.25</f>
        <v>10.5</v>
      </c>
      <c r="BX6">
        <f t="shared" si="11"/>
        <v>10.75</v>
      </c>
      <c r="BY6">
        <f t="shared" si="11"/>
        <v>11</v>
      </c>
      <c r="BZ6">
        <f t="shared" si="11"/>
        <v>11.25</v>
      </c>
      <c r="CA6">
        <f t="shared" si="11"/>
        <v>11.5</v>
      </c>
      <c r="CB6">
        <f t="shared" si="11"/>
        <v>11.75</v>
      </c>
      <c r="CC6">
        <f t="shared" si="11"/>
        <v>12</v>
      </c>
      <c r="CD6">
        <f t="shared" si="11"/>
        <v>12.25</v>
      </c>
      <c r="CE6">
        <f t="shared" si="11"/>
        <v>12.5</v>
      </c>
      <c r="CF6">
        <f t="shared" si="11"/>
        <v>12.75</v>
      </c>
      <c r="CG6">
        <f t="shared" si="11"/>
        <v>13</v>
      </c>
      <c r="CH6">
        <f t="shared" si="11"/>
        <v>13.25</v>
      </c>
      <c r="CI6">
        <f t="shared" si="11"/>
        <v>13.5</v>
      </c>
      <c r="CJ6">
        <f t="shared" si="11"/>
        <v>13.75</v>
      </c>
      <c r="CK6">
        <f t="shared" si="11"/>
        <v>14</v>
      </c>
      <c r="CL6">
        <f t="shared" si="11"/>
        <v>14.25</v>
      </c>
      <c r="CM6">
        <f t="shared" si="11"/>
        <v>14.5</v>
      </c>
      <c r="CN6">
        <f t="shared" si="11"/>
        <v>14.75</v>
      </c>
      <c r="CO6">
        <f t="shared" si="11"/>
        <v>15</v>
      </c>
      <c r="CP6">
        <f t="shared" si="11"/>
        <v>15.25</v>
      </c>
      <c r="CQ6">
        <f t="shared" si="11"/>
        <v>15.5</v>
      </c>
      <c r="CR6">
        <f t="shared" si="11"/>
        <v>15.75</v>
      </c>
      <c r="CS6">
        <f t="shared" si="11"/>
        <v>16</v>
      </c>
      <c r="CT6">
        <f t="shared" si="11"/>
        <v>16.25</v>
      </c>
      <c r="CU6">
        <f t="shared" si="11"/>
        <v>16.5</v>
      </c>
      <c r="CV6">
        <f t="shared" si="11"/>
        <v>16.75</v>
      </c>
      <c r="CW6" t="s">
        <v>57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2</v>
      </c>
      <c r="BB7">
        <v>3</v>
      </c>
      <c r="BC7">
        <v>4</v>
      </c>
      <c r="BD7">
        <v>5</v>
      </c>
      <c r="BE7">
        <v>6</v>
      </c>
      <c r="BF7">
        <v>7</v>
      </c>
      <c r="BG7">
        <v>8</v>
      </c>
      <c r="BH7">
        <v>9</v>
      </c>
      <c r="BI7">
        <v>10</v>
      </c>
      <c r="BJ7">
        <v>11</v>
      </c>
      <c r="BK7">
        <v>12</v>
      </c>
      <c r="BL7">
        <v>13</v>
      </c>
      <c r="BM7">
        <v>14</v>
      </c>
      <c r="BN7">
        <v>15</v>
      </c>
      <c r="BO7">
        <v>16</v>
      </c>
      <c r="BP7">
        <v>17</v>
      </c>
      <c r="BQ7">
        <v>18</v>
      </c>
      <c r="BR7">
        <v>18</v>
      </c>
      <c r="BS7">
        <v>19</v>
      </c>
      <c r="BT7">
        <v>19</v>
      </c>
      <c r="BU7">
        <v>20</v>
      </c>
      <c r="BV7">
        <f>BU7+0.5</f>
        <v>20.5</v>
      </c>
      <c r="BW7">
        <f t="shared" ref="BW7:CV8" si="12">BV7+0.5</f>
        <v>21</v>
      </c>
      <c r="BX7">
        <f t="shared" si="12"/>
        <v>21.5</v>
      </c>
      <c r="BY7">
        <f t="shared" si="12"/>
        <v>22</v>
      </c>
      <c r="BZ7">
        <f t="shared" si="12"/>
        <v>22.5</v>
      </c>
      <c r="CA7">
        <f t="shared" si="12"/>
        <v>23</v>
      </c>
      <c r="CB7">
        <f t="shared" si="12"/>
        <v>23.5</v>
      </c>
      <c r="CC7">
        <f t="shared" si="12"/>
        <v>24</v>
      </c>
      <c r="CD7">
        <f t="shared" si="12"/>
        <v>24.5</v>
      </c>
      <c r="CE7">
        <f t="shared" si="12"/>
        <v>25</v>
      </c>
      <c r="CF7">
        <f t="shared" si="12"/>
        <v>25.5</v>
      </c>
      <c r="CG7">
        <f t="shared" si="12"/>
        <v>26</v>
      </c>
      <c r="CH7">
        <f t="shared" si="12"/>
        <v>26.5</v>
      </c>
      <c r="CI7">
        <f t="shared" si="12"/>
        <v>27</v>
      </c>
      <c r="CJ7">
        <f t="shared" si="12"/>
        <v>27.5</v>
      </c>
      <c r="CK7">
        <f t="shared" si="12"/>
        <v>28</v>
      </c>
      <c r="CL7">
        <f t="shared" si="12"/>
        <v>28.5</v>
      </c>
      <c r="CM7">
        <f t="shared" si="12"/>
        <v>29</v>
      </c>
      <c r="CN7">
        <f t="shared" si="12"/>
        <v>29.5</v>
      </c>
      <c r="CO7">
        <f t="shared" si="12"/>
        <v>30</v>
      </c>
      <c r="CP7">
        <f t="shared" si="12"/>
        <v>30.5</v>
      </c>
      <c r="CQ7">
        <f t="shared" si="12"/>
        <v>31</v>
      </c>
      <c r="CR7">
        <f t="shared" si="12"/>
        <v>31.5</v>
      </c>
      <c r="CS7">
        <f t="shared" si="12"/>
        <v>32</v>
      </c>
      <c r="CT7">
        <f t="shared" si="12"/>
        <v>32.5</v>
      </c>
      <c r="CU7">
        <f t="shared" si="12"/>
        <v>33</v>
      </c>
      <c r="CV7">
        <f t="shared" si="12"/>
        <v>33.5</v>
      </c>
      <c r="CW7" t="s">
        <v>77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1</v>
      </c>
      <c r="BA8">
        <v>2</v>
      </c>
      <c r="BB8">
        <v>3</v>
      </c>
      <c r="BC8">
        <v>4</v>
      </c>
      <c r="BD8">
        <v>5</v>
      </c>
      <c r="BE8">
        <v>6</v>
      </c>
      <c r="BF8">
        <v>7</v>
      </c>
      <c r="BG8">
        <v>8</v>
      </c>
      <c r="BH8">
        <v>9</v>
      </c>
      <c r="BI8">
        <v>10</v>
      </c>
      <c r="BJ8">
        <v>11</v>
      </c>
      <c r="BK8">
        <v>12</v>
      </c>
      <c r="BL8">
        <v>13</v>
      </c>
      <c r="BM8">
        <v>14</v>
      </c>
      <c r="BN8">
        <v>15</v>
      </c>
      <c r="BO8">
        <v>16</v>
      </c>
      <c r="BP8">
        <v>17</v>
      </c>
      <c r="BQ8">
        <v>18</v>
      </c>
      <c r="BR8">
        <v>18</v>
      </c>
      <c r="BS8">
        <v>19</v>
      </c>
      <c r="BT8">
        <v>19</v>
      </c>
      <c r="BU8">
        <v>20</v>
      </c>
      <c r="BV8">
        <f>BU8+0.5</f>
        <v>20.5</v>
      </c>
      <c r="BW8">
        <f t="shared" si="12"/>
        <v>21</v>
      </c>
      <c r="BX8">
        <f t="shared" si="12"/>
        <v>21.5</v>
      </c>
      <c r="BY8">
        <f t="shared" si="12"/>
        <v>22</v>
      </c>
      <c r="BZ8">
        <f t="shared" si="12"/>
        <v>22.5</v>
      </c>
      <c r="CA8">
        <f t="shared" si="12"/>
        <v>23</v>
      </c>
      <c r="CB8">
        <f t="shared" si="12"/>
        <v>23.5</v>
      </c>
      <c r="CC8">
        <f t="shared" si="12"/>
        <v>24</v>
      </c>
      <c r="CD8">
        <f t="shared" si="12"/>
        <v>24.5</v>
      </c>
      <c r="CE8">
        <f t="shared" si="12"/>
        <v>25</v>
      </c>
      <c r="CF8">
        <f t="shared" si="12"/>
        <v>25.5</v>
      </c>
      <c r="CG8">
        <f t="shared" si="12"/>
        <v>26</v>
      </c>
      <c r="CH8">
        <f t="shared" si="12"/>
        <v>26.5</v>
      </c>
      <c r="CI8">
        <f t="shared" si="12"/>
        <v>27</v>
      </c>
      <c r="CJ8">
        <f t="shared" si="12"/>
        <v>27.5</v>
      </c>
      <c r="CK8">
        <f t="shared" si="12"/>
        <v>28</v>
      </c>
      <c r="CL8">
        <f t="shared" si="12"/>
        <v>28.5</v>
      </c>
      <c r="CM8">
        <f t="shared" si="12"/>
        <v>29</v>
      </c>
      <c r="CN8">
        <f t="shared" si="12"/>
        <v>29.5</v>
      </c>
      <c r="CO8">
        <f t="shared" si="12"/>
        <v>30</v>
      </c>
      <c r="CP8">
        <f t="shared" si="12"/>
        <v>30.5</v>
      </c>
      <c r="CQ8">
        <f t="shared" si="12"/>
        <v>31</v>
      </c>
      <c r="CR8">
        <f t="shared" si="12"/>
        <v>31.5</v>
      </c>
      <c r="CS8">
        <f t="shared" si="12"/>
        <v>32</v>
      </c>
      <c r="CT8">
        <f t="shared" si="12"/>
        <v>32.5</v>
      </c>
      <c r="CU8">
        <f t="shared" si="12"/>
        <v>33</v>
      </c>
      <c r="CV8">
        <f t="shared" si="12"/>
        <v>33.5</v>
      </c>
      <c r="CW8" t="s">
        <v>77</v>
      </c>
    </row>
    <row r="14" spans="1:102" x14ac:dyDescent="0.25">
      <c r="C14">
        <v>1</v>
      </c>
      <c r="D14" s="1">
        <f>C14+1</f>
        <v>2</v>
      </c>
      <c r="E14" s="1">
        <f t="shared" ref="E14:BP14" si="13">D14+1</f>
        <v>3</v>
      </c>
      <c r="F14" s="1">
        <f t="shared" si="13"/>
        <v>4</v>
      </c>
      <c r="G14" s="1">
        <f t="shared" si="13"/>
        <v>5</v>
      </c>
      <c r="H14" s="1">
        <f t="shared" si="13"/>
        <v>6</v>
      </c>
      <c r="I14" s="1">
        <f t="shared" si="13"/>
        <v>7</v>
      </c>
      <c r="J14" s="1">
        <f t="shared" si="13"/>
        <v>8</v>
      </c>
      <c r="K14" s="1">
        <f t="shared" si="13"/>
        <v>9</v>
      </c>
      <c r="L14" s="1">
        <f t="shared" si="13"/>
        <v>10</v>
      </c>
      <c r="M14" s="1">
        <f t="shared" si="13"/>
        <v>11</v>
      </c>
      <c r="N14" s="1">
        <f t="shared" si="13"/>
        <v>12</v>
      </c>
      <c r="O14" s="1">
        <f t="shared" si="13"/>
        <v>13</v>
      </c>
      <c r="P14" s="1">
        <f t="shared" si="13"/>
        <v>14</v>
      </c>
      <c r="Q14" s="1">
        <f t="shared" si="13"/>
        <v>15</v>
      </c>
      <c r="R14" s="1">
        <f t="shared" si="13"/>
        <v>16</v>
      </c>
      <c r="S14" s="1">
        <f t="shared" si="13"/>
        <v>17</v>
      </c>
      <c r="T14" s="1">
        <f t="shared" si="13"/>
        <v>18</v>
      </c>
      <c r="U14" s="1">
        <f t="shared" si="13"/>
        <v>19</v>
      </c>
      <c r="V14" s="1">
        <f t="shared" si="13"/>
        <v>20</v>
      </c>
      <c r="W14" s="1">
        <f t="shared" si="13"/>
        <v>21</v>
      </c>
      <c r="X14" s="1">
        <f t="shared" si="13"/>
        <v>22</v>
      </c>
      <c r="Y14" s="1">
        <f t="shared" si="13"/>
        <v>23</v>
      </c>
      <c r="Z14" s="1">
        <f t="shared" si="13"/>
        <v>24</v>
      </c>
      <c r="AA14" s="1">
        <f t="shared" si="13"/>
        <v>25</v>
      </c>
      <c r="AB14" s="1">
        <f t="shared" si="13"/>
        <v>26</v>
      </c>
      <c r="AC14" s="1">
        <f t="shared" si="13"/>
        <v>27</v>
      </c>
      <c r="AD14" s="1">
        <f t="shared" si="13"/>
        <v>28</v>
      </c>
      <c r="AE14" s="1">
        <f t="shared" si="13"/>
        <v>29</v>
      </c>
      <c r="AF14" s="1">
        <f t="shared" si="13"/>
        <v>30</v>
      </c>
      <c r="AG14" s="1">
        <f t="shared" si="13"/>
        <v>31</v>
      </c>
      <c r="AH14" s="1">
        <f t="shared" si="13"/>
        <v>32</v>
      </c>
      <c r="AI14" s="1">
        <f t="shared" si="13"/>
        <v>33</v>
      </c>
      <c r="AJ14" s="1">
        <f t="shared" si="13"/>
        <v>34</v>
      </c>
      <c r="AK14" s="1">
        <f t="shared" si="13"/>
        <v>35</v>
      </c>
      <c r="AL14" s="1">
        <f t="shared" si="13"/>
        <v>36</v>
      </c>
      <c r="AM14" s="1">
        <f t="shared" si="13"/>
        <v>37</v>
      </c>
      <c r="AN14" s="1">
        <f t="shared" si="13"/>
        <v>38</v>
      </c>
      <c r="AO14" s="1">
        <f t="shared" si="13"/>
        <v>39</v>
      </c>
      <c r="AP14" s="1">
        <f t="shared" si="13"/>
        <v>40</v>
      </c>
      <c r="AQ14" s="1">
        <f t="shared" si="13"/>
        <v>41</v>
      </c>
      <c r="AR14" s="1">
        <f t="shared" si="13"/>
        <v>42</v>
      </c>
      <c r="AS14" s="1">
        <f t="shared" si="13"/>
        <v>43</v>
      </c>
      <c r="AT14" s="1">
        <f t="shared" si="13"/>
        <v>44</v>
      </c>
      <c r="AU14" s="1">
        <f t="shared" si="13"/>
        <v>45</v>
      </c>
      <c r="AV14" s="1">
        <f t="shared" si="13"/>
        <v>46</v>
      </c>
      <c r="AW14" s="1">
        <f t="shared" si="13"/>
        <v>47</v>
      </c>
      <c r="AX14" s="1">
        <f t="shared" si="13"/>
        <v>48</v>
      </c>
      <c r="AY14" s="1">
        <f t="shared" si="13"/>
        <v>49</v>
      </c>
      <c r="AZ14" s="1">
        <f t="shared" si="13"/>
        <v>50</v>
      </c>
      <c r="BA14" s="1">
        <f t="shared" si="13"/>
        <v>51</v>
      </c>
      <c r="BB14" s="1">
        <f t="shared" si="13"/>
        <v>52</v>
      </c>
      <c r="BC14" s="1">
        <f t="shared" si="13"/>
        <v>53</v>
      </c>
      <c r="BD14" s="1">
        <f t="shared" si="13"/>
        <v>54</v>
      </c>
      <c r="BE14" s="1">
        <f t="shared" si="13"/>
        <v>55</v>
      </c>
      <c r="BF14" s="1">
        <f t="shared" si="13"/>
        <v>56</v>
      </c>
      <c r="BG14" s="1">
        <f t="shared" si="13"/>
        <v>57</v>
      </c>
      <c r="BH14" s="1">
        <f t="shared" si="13"/>
        <v>58</v>
      </c>
      <c r="BI14" s="1">
        <f t="shared" si="13"/>
        <v>59</v>
      </c>
      <c r="BJ14" s="1">
        <f t="shared" si="13"/>
        <v>60</v>
      </c>
      <c r="BK14" s="1">
        <f t="shared" si="13"/>
        <v>61</v>
      </c>
      <c r="BL14" s="1">
        <f t="shared" si="13"/>
        <v>62</v>
      </c>
      <c r="BM14" s="1">
        <f t="shared" si="13"/>
        <v>63</v>
      </c>
      <c r="BN14" s="1">
        <f t="shared" si="13"/>
        <v>64</v>
      </c>
      <c r="BO14" s="1">
        <f t="shared" si="13"/>
        <v>65</v>
      </c>
      <c r="BP14" s="1">
        <f t="shared" si="13"/>
        <v>66</v>
      </c>
      <c r="BQ14" s="1">
        <f t="shared" ref="BQ14:CW14" si="14">BP14+1</f>
        <v>67</v>
      </c>
      <c r="BR14" s="1">
        <f t="shared" si="14"/>
        <v>68</v>
      </c>
      <c r="BS14" s="1">
        <f t="shared" si="14"/>
        <v>69</v>
      </c>
      <c r="BT14" s="1">
        <f t="shared" si="14"/>
        <v>70</v>
      </c>
      <c r="BU14" s="1">
        <f t="shared" si="14"/>
        <v>71</v>
      </c>
      <c r="BV14" s="1">
        <f t="shared" si="14"/>
        <v>72</v>
      </c>
      <c r="BW14" s="1">
        <f t="shared" si="14"/>
        <v>73</v>
      </c>
      <c r="BX14" s="1">
        <f t="shared" si="14"/>
        <v>74</v>
      </c>
      <c r="BY14" s="1">
        <f t="shared" si="14"/>
        <v>75</v>
      </c>
      <c r="BZ14" s="1">
        <f t="shared" si="14"/>
        <v>76</v>
      </c>
      <c r="CA14" s="1">
        <f t="shared" si="14"/>
        <v>77</v>
      </c>
      <c r="CB14" s="1">
        <f t="shared" si="14"/>
        <v>78</v>
      </c>
      <c r="CC14" s="1">
        <f t="shared" si="14"/>
        <v>79</v>
      </c>
      <c r="CD14" s="1">
        <f t="shared" si="14"/>
        <v>80</v>
      </c>
      <c r="CE14" s="1">
        <f t="shared" si="14"/>
        <v>81</v>
      </c>
      <c r="CF14" s="1">
        <f t="shared" si="14"/>
        <v>82</v>
      </c>
      <c r="CG14" s="1">
        <f t="shared" si="14"/>
        <v>83</v>
      </c>
      <c r="CH14" s="1">
        <f t="shared" si="14"/>
        <v>84</v>
      </c>
      <c r="CI14" s="1">
        <f t="shared" si="14"/>
        <v>85</v>
      </c>
      <c r="CJ14" s="1">
        <f t="shared" si="14"/>
        <v>86</v>
      </c>
      <c r="CK14" s="1">
        <f t="shared" si="14"/>
        <v>87</v>
      </c>
      <c r="CL14" s="1">
        <f t="shared" si="14"/>
        <v>88</v>
      </c>
      <c r="CM14" s="1">
        <f t="shared" si="14"/>
        <v>89</v>
      </c>
      <c r="CN14" s="1">
        <f t="shared" si="14"/>
        <v>90</v>
      </c>
      <c r="CO14" s="1">
        <f t="shared" si="14"/>
        <v>91</v>
      </c>
      <c r="CP14" s="1">
        <f t="shared" si="14"/>
        <v>92</v>
      </c>
      <c r="CQ14" s="1">
        <f t="shared" si="14"/>
        <v>93</v>
      </c>
      <c r="CR14" s="1">
        <f t="shared" si="14"/>
        <v>94</v>
      </c>
      <c r="CS14" s="1">
        <f t="shared" si="14"/>
        <v>95</v>
      </c>
      <c r="CT14" s="1">
        <f t="shared" si="14"/>
        <v>96</v>
      </c>
      <c r="CU14" s="1">
        <f t="shared" si="14"/>
        <v>97</v>
      </c>
      <c r="CV14" s="1">
        <f t="shared" si="14"/>
        <v>98</v>
      </c>
      <c r="CW14" s="1">
        <f t="shared" si="14"/>
        <v>99</v>
      </c>
      <c r="CX14" s="1"/>
    </row>
  </sheetData>
  <sortState ref="B1:CX8">
    <sortCondition ref="B1:B8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X14"/>
  <sheetViews>
    <sheetView topLeftCell="BC1" workbookViewId="0">
      <selection activeCell="B9" sqref="B9:CW10"/>
    </sheetView>
  </sheetViews>
  <sheetFormatPr defaultRowHeight="15" x14ac:dyDescent="0.25"/>
  <cols>
    <col min="2" max="2" width="28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1" t="s">
        <v>71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f>AX1+4</f>
        <v>200</v>
      </c>
      <c r="AZ1">
        <f t="shared" ref="AZ1:BU1" si="0">AY1+4</f>
        <v>204</v>
      </c>
      <c r="BA1">
        <f t="shared" si="0"/>
        <v>208</v>
      </c>
      <c r="BB1">
        <f t="shared" si="0"/>
        <v>212</v>
      </c>
      <c r="BC1">
        <f t="shared" si="0"/>
        <v>216</v>
      </c>
      <c r="BD1">
        <f t="shared" si="0"/>
        <v>220</v>
      </c>
      <c r="BE1">
        <f t="shared" si="0"/>
        <v>224</v>
      </c>
      <c r="BF1">
        <f t="shared" si="0"/>
        <v>228</v>
      </c>
      <c r="BG1">
        <f t="shared" si="0"/>
        <v>232</v>
      </c>
      <c r="BH1">
        <f t="shared" si="0"/>
        <v>236</v>
      </c>
      <c r="BI1">
        <f t="shared" si="0"/>
        <v>240</v>
      </c>
      <c r="BJ1">
        <f t="shared" si="0"/>
        <v>244</v>
      </c>
      <c r="BK1">
        <f t="shared" si="0"/>
        <v>248</v>
      </c>
      <c r="BL1">
        <f t="shared" si="0"/>
        <v>252</v>
      </c>
      <c r="BM1">
        <f t="shared" si="0"/>
        <v>256</v>
      </c>
      <c r="BN1">
        <f t="shared" si="0"/>
        <v>260</v>
      </c>
      <c r="BO1">
        <f t="shared" si="0"/>
        <v>264</v>
      </c>
      <c r="BP1">
        <f t="shared" si="0"/>
        <v>268</v>
      </c>
      <c r="BQ1">
        <f t="shared" si="0"/>
        <v>272</v>
      </c>
      <c r="BR1">
        <f t="shared" si="0"/>
        <v>276</v>
      </c>
      <c r="BS1">
        <f t="shared" si="0"/>
        <v>280</v>
      </c>
      <c r="BT1">
        <f t="shared" si="0"/>
        <v>284</v>
      </c>
      <c r="BU1">
        <f t="shared" si="0"/>
        <v>288</v>
      </c>
      <c r="BV1">
        <f>BU1+2</f>
        <v>290</v>
      </c>
      <c r="BW1">
        <f t="shared" ref="BW1:CV1" si="1">BV1+2</f>
        <v>292</v>
      </c>
      <c r="BX1">
        <f t="shared" si="1"/>
        <v>294</v>
      </c>
      <c r="BY1">
        <f t="shared" si="1"/>
        <v>296</v>
      </c>
      <c r="BZ1">
        <f t="shared" si="1"/>
        <v>298</v>
      </c>
      <c r="CA1">
        <f t="shared" si="1"/>
        <v>300</v>
      </c>
      <c r="CB1">
        <f t="shared" si="1"/>
        <v>302</v>
      </c>
      <c r="CC1">
        <f t="shared" si="1"/>
        <v>304</v>
      </c>
      <c r="CD1">
        <f t="shared" si="1"/>
        <v>306</v>
      </c>
      <c r="CE1">
        <f t="shared" si="1"/>
        <v>308</v>
      </c>
      <c r="CF1">
        <f t="shared" si="1"/>
        <v>310</v>
      </c>
      <c r="CG1">
        <f t="shared" si="1"/>
        <v>312</v>
      </c>
      <c r="CH1">
        <f t="shared" si="1"/>
        <v>314</v>
      </c>
      <c r="CI1">
        <f t="shared" si="1"/>
        <v>316</v>
      </c>
      <c r="CJ1">
        <f t="shared" si="1"/>
        <v>318</v>
      </c>
      <c r="CK1">
        <f t="shared" si="1"/>
        <v>320</v>
      </c>
      <c r="CL1">
        <f t="shared" si="1"/>
        <v>322</v>
      </c>
      <c r="CM1">
        <f t="shared" si="1"/>
        <v>324</v>
      </c>
      <c r="CN1">
        <f t="shared" si="1"/>
        <v>326</v>
      </c>
      <c r="CO1">
        <f t="shared" si="1"/>
        <v>328</v>
      </c>
      <c r="CP1">
        <f t="shared" si="1"/>
        <v>330</v>
      </c>
      <c r="CQ1">
        <f t="shared" si="1"/>
        <v>332</v>
      </c>
      <c r="CR1">
        <f t="shared" si="1"/>
        <v>334</v>
      </c>
      <c r="CS1">
        <f t="shared" si="1"/>
        <v>336</v>
      </c>
      <c r="CT1">
        <f t="shared" si="1"/>
        <v>338</v>
      </c>
      <c r="CU1">
        <f t="shared" si="1"/>
        <v>340</v>
      </c>
      <c r="CV1">
        <f t="shared" si="1"/>
        <v>342</v>
      </c>
      <c r="CW1" t="s">
        <v>153</v>
      </c>
    </row>
    <row r="2" spans="1:102" x14ac:dyDescent="0.25">
      <c r="A2" t="str">
        <f t="shared" ref="A2:A10" si="2">combine(B2:CW2)</f>
        <v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v>
      </c>
      <c r="B2" t="s">
        <v>62</v>
      </c>
      <c r="C2">
        <v>3</v>
      </c>
      <c r="D2">
        <v>4</v>
      </c>
      <c r="E2">
        <v>6</v>
      </c>
      <c r="F2">
        <v>8</v>
      </c>
      <c r="G2">
        <v>9</v>
      </c>
      <c r="H2">
        <v>10</v>
      </c>
      <c r="I2">
        <v>12</v>
      </c>
      <c r="J2">
        <v>14</v>
      </c>
      <c r="K2">
        <v>15</v>
      </c>
      <c r="L2">
        <v>16</v>
      </c>
      <c r="M2">
        <v>18</v>
      </c>
      <c r="N2">
        <v>20</v>
      </c>
      <c r="O2">
        <v>21</v>
      </c>
      <c r="P2">
        <v>22</v>
      </c>
      <c r="Q2">
        <v>24</v>
      </c>
      <c r="R2">
        <v>26</v>
      </c>
      <c r="S2">
        <v>27</v>
      </c>
      <c r="T2">
        <v>28</v>
      </c>
      <c r="U2">
        <v>30</v>
      </c>
      <c r="V2">
        <v>32</v>
      </c>
      <c r="W2">
        <v>33</v>
      </c>
      <c r="X2">
        <v>34</v>
      </c>
      <c r="Y2">
        <v>36</v>
      </c>
      <c r="Z2">
        <v>38</v>
      </c>
      <c r="AA2">
        <v>39</v>
      </c>
      <c r="AB2">
        <v>40</v>
      </c>
      <c r="AC2">
        <v>42</v>
      </c>
      <c r="AD2">
        <v>44</v>
      </c>
      <c r="AE2">
        <v>45</v>
      </c>
      <c r="AF2">
        <v>46</v>
      </c>
      <c r="AG2">
        <v>48</v>
      </c>
      <c r="AH2">
        <v>50</v>
      </c>
      <c r="AI2">
        <v>51</v>
      </c>
      <c r="AJ2">
        <v>52</v>
      </c>
      <c r="AK2">
        <v>54</v>
      </c>
      <c r="AL2">
        <v>56</v>
      </c>
      <c r="AM2">
        <v>57</v>
      </c>
      <c r="AN2">
        <v>58</v>
      </c>
      <c r="AO2">
        <v>60</v>
      </c>
      <c r="AP2">
        <v>62</v>
      </c>
      <c r="AQ2">
        <v>63</v>
      </c>
      <c r="AR2">
        <v>64</v>
      </c>
      <c r="AS2">
        <v>66</v>
      </c>
      <c r="AT2">
        <v>68</v>
      </c>
      <c r="AU2">
        <v>69</v>
      </c>
      <c r="AV2">
        <v>70</v>
      </c>
      <c r="AW2">
        <v>72</v>
      </c>
      <c r="AX2">
        <v>74</v>
      </c>
      <c r="AY2">
        <f>AX2+1</f>
        <v>75</v>
      </c>
      <c r="AZ2">
        <f t="shared" ref="AZ2:BU2" si="3">AY2+1</f>
        <v>76</v>
      </c>
      <c r="BA2">
        <f t="shared" si="3"/>
        <v>77</v>
      </c>
      <c r="BB2">
        <f t="shared" si="3"/>
        <v>78</v>
      </c>
      <c r="BC2">
        <f t="shared" si="3"/>
        <v>79</v>
      </c>
      <c r="BD2">
        <f t="shared" si="3"/>
        <v>80</v>
      </c>
      <c r="BE2">
        <f t="shared" si="3"/>
        <v>81</v>
      </c>
      <c r="BF2">
        <f t="shared" si="3"/>
        <v>82</v>
      </c>
      <c r="BG2">
        <f t="shared" si="3"/>
        <v>83</v>
      </c>
      <c r="BH2">
        <f t="shared" si="3"/>
        <v>84</v>
      </c>
      <c r="BI2">
        <f t="shared" si="3"/>
        <v>85</v>
      </c>
      <c r="BJ2">
        <f t="shared" si="3"/>
        <v>86</v>
      </c>
      <c r="BK2">
        <f t="shared" si="3"/>
        <v>87</v>
      </c>
      <c r="BL2">
        <f t="shared" si="3"/>
        <v>88</v>
      </c>
      <c r="BM2">
        <f t="shared" si="3"/>
        <v>89</v>
      </c>
      <c r="BN2">
        <f t="shared" si="3"/>
        <v>90</v>
      </c>
      <c r="BO2">
        <f t="shared" si="3"/>
        <v>91</v>
      </c>
      <c r="BP2">
        <f t="shared" si="3"/>
        <v>92</v>
      </c>
      <c r="BQ2">
        <f t="shared" si="3"/>
        <v>93</v>
      </c>
      <c r="BR2">
        <f t="shared" si="3"/>
        <v>94</v>
      </c>
      <c r="BS2">
        <f t="shared" si="3"/>
        <v>95</v>
      </c>
      <c r="BT2">
        <f t="shared" si="3"/>
        <v>96</v>
      </c>
      <c r="BU2">
        <f t="shared" si="3"/>
        <v>97</v>
      </c>
      <c r="BV2">
        <f>BU2+0.5</f>
        <v>97.5</v>
      </c>
      <c r="BW2">
        <f t="shared" ref="BW2:CV2" si="4">BV2+0.5</f>
        <v>98</v>
      </c>
      <c r="BX2">
        <f t="shared" si="4"/>
        <v>98.5</v>
      </c>
      <c r="BY2">
        <f t="shared" si="4"/>
        <v>99</v>
      </c>
      <c r="BZ2">
        <f t="shared" si="4"/>
        <v>99.5</v>
      </c>
      <c r="CA2">
        <f t="shared" si="4"/>
        <v>100</v>
      </c>
      <c r="CB2">
        <f t="shared" si="4"/>
        <v>100.5</v>
      </c>
      <c r="CC2">
        <f t="shared" si="4"/>
        <v>101</v>
      </c>
      <c r="CD2">
        <f t="shared" si="4"/>
        <v>101.5</v>
      </c>
      <c r="CE2">
        <f t="shared" si="4"/>
        <v>102</v>
      </c>
      <c r="CF2">
        <f t="shared" si="4"/>
        <v>102.5</v>
      </c>
      <c r="CG2">
        <f t="shared" si="4"/>
        <v>103</v>
      </c>
      <c r="CH2">
        <f t="shared" si="4"/>
        <v>103.5</v>
      </c>
      <c r="CI2">
        <f t="shared" si="4"/>
        <v>104</v>
      </c>
      <c r="CJ2">
        <f t="shared" si="4"/>
        <v>104.5</v>
      </c>
      <c r="CK2">
        <f t="shared" si="4"/>
        <v>105</v>
      </c>
      <c r="CL2">
        <f t="shared" si="4"/>
        <v>105.5</v>
      </c>
      <c r="CM2">
        <f t="shared" si="4"/>
        <v>106</v>
      </c>
      <c r="CN2">
        <f t="shared" si="4"/>
        <v>106.5</v>
      </c>
      <c r="CO2">
        <f t="shared" si="4"/>
        <v>107</v>
      </c>
      <c r="CP2">
        <f t="shared" si="4"/>
        <v>107.5</v>
      </c>
      <c r="CQ2">
        <f t="shared" si="4"/>
        <v>108</v>
      </c>
      <c r="CR2">
        <f t="shared" si="4"/>
        <v>108.5</v>
      </c>
      <c r="CS2">
        <f t="shared" si="4"/>
        <v>109</v>
      </c>
      <c r="CT2">
        <f t="shared" si="4"/>
        <v>109.5</v>
      </c>
      <c r="CU2">
        <f t="shared" si="4"/>
        <v>110</v>
      </c>
      <c r="CV2">
        <f t="shared" si="4"/>
        <v>110.5</v>
      </c>
      <c r="CW2" t="s">
        <v>149</v>
      </c>
    </row>
    <row r="3" spans="1:102" x14ac:dyDescent="0.25">
      <c r="A3" t="str">
        <f t="shared" si="2"/>
        <v>characterLife,35.000000;70;105;140;175;210;245;280;315;350;385;420;455;490;525;560;595;630;665;700;735;770;805;840;875;910;945;980;1015;1050;1085;1120;1155;1190;1225;1260;1295;1330;1365;1400;1435;1470;1505;1540;1575;1610;1645;1680;1715;1750;1785;1820;1855;1890;1925;1960;1995;2030;2065;2100;2135;2170;2205;2240;2275;2310;2345;2380;2415;2450;2485;2520;2537.5;2555;2572.5;2590;2607.5;2625;2642.5;2660;2677.5;2695;2712.5;2730;2747.5;2765;2782.5;2800;2817.5;2835;2852.5;2870;2887.5;2905;2922.5;2940;2957.5;2975;2992.5;3010,</v>
      </c>
      <c r="B3" t="s">
        <v>166</v>
      </c>
      <c r="C3">
        <v>70</v>
      </c>
      <c r="D3">
        <v>105</v>
      </c>
      <c r="E3">
        <v>140</v>
      </c>
      <c r="F3">
        <v>175</v>
      </c>
      <c r="G3">
        <v>210</v>
      </c>
      <c r="H3">
        <v>245</v>
      </c>
      <c r="I3">
        <v>280</v>
      </c>
      <c r="J3">
        <v>315</v>
      </c>
      <c r="K3">
        <v>350</v>
      </c>
      <c r="L3">
        <v>385</v>
      </c>
      <c r="M3">
        <v>420</v>
      </c>
      <c r="N3">
        <v>455</v>
      </c>
      <c r="O3">
        <v>490</v>
      </c>
      <c r="P3">
        <v>525</v>
      </c>
      <c r="Q3">
        <v>560</v>
      </c>
      <c r="R3">
        <v>595</v>
      </c>
      <c r="S3">
        <v>630</v>
      </c>
      <c r="T3">
        <v>665</v>
      </c>
      <c r="U3">
        <v>700</v>
      </c>
      <c r="V3">
        <v>735</v>
      </c>
      <c r="W3">
        <v>770</v>
      </c>
      <c r="X3">
        <v>805</v>
      </c>
      <c r="Y3">
        <v>840</v>
      </c>
      <c r="Z3">
        <v>875</v>
      </c>
      <c r="AA3">
        <v>910</v>
      </c>
      <c r="AB3">
        <v>945</v>
      </c>
      <c r="AC3">
        <v>980</v>
      </c>
      <c r="AD3">
        <v>1015</v>
      </c>
      <c r="AE3">
        <v>1050</v>
      </c>
      <c r="AF3">
        <v>1085</v>
      </c>
      <c r="AG3">
        <v>1120</v>
      </c>
      <c r="AH3">
        <v>1155</v>
      </c>
      <c r="AI3">
        <v>1190</v>
      </c>
      <c r="AJ3">
        <v>1225</v>
      </c>
      <c r="AK3">
        <v>1260</v>
      </c>
      <c r="AL3">
        <v>1295</v>
      </c>
      <c r="AM3">
        <v>1330</v>
      </c>
      <c r="AN3">
        <v>1365</v>
      </c>
      <c r="AO3">
        <v>1400</v>
      </c>
      <c r="AP3">
        <v>1435</v>
      </c>
      <c r="AQ3">
        <v>1470</v>
      </c>
      <c r="AR3">
        <v>1505</v>
      </c>
      <c r="AS3">
        <v>1540</v>
      </c>
      <c r="AT3">
        <v>1575</v>
      </c>
      <c r="AU3">
        <v>1610</v>
      </c>
      <c r="AV3">
        <v>1645</v>
      </c>
      <c r="AW3">
        <v>1680</v>
      </c>
      <c r="AX3">
        <v>1715</v>
      </c>
      <c r="AY3">
        <f>AX3+35</f>
        <v>1750</v>
      </c>
      <c r="AZ3">
        <f t="shared" ref="AZ3:BU3" si="5">AY3+35</f>
        <v>1785</v>
      </c>
      <c r="BA3">
        <f t="shared" si="5"/>
        <v>1820</v>
      </c>
      <c r="BB3">
        <f t="shared" si="5"/>
        <v>1855</v>
      </c>
      <c r="BC3">
        <f t="shared" si="5"/>
        <v>1890</v>
      </c>
      <c r="BD3">
        <f t="shared" si="5"/>
        <v>1925</v>
      </c>
      <c r="BE3">
        <f t="shared" si="5"/>
        <v>1960</v>
      </c>
      <c r="BF3">
        <f t="shared" si="5"/>
        <v>1995</v>
      </c>
      <c r="BG3">
        <f t="shared" si="5"/>
        <v>2030</v>
      </c>
      <c r="BH3">
        <f t="shared" si="5"/>
        <v>2065</v>
      </c>
      <c r="BI3">
        <f t="shared" si="5"/>
        <v>2100</v>
      </c>
      <c r="BJ3">
        <f t="shared" si="5"/>
        <v>2135</v>
      </c>
      <c r="BK3">
        <f t="shared" si="5"/>
        <v>2170</v>
      </c>
      <c r="BL3">
        <f t="shared" si="5"/>
        <v>2205</v>
      </c>
      <c r="BM3">
        <f t="shared" si="5"/>
        <v>2240</v>
      </c>
      <c r="BN3">
        <f t="shared" si="5"/>
        <v>2275</v>
      </c>
      <c r="BO3">
        <f t="shared" si="5"/>
        <v>2310</v>
      </c>
      <c r="BP3">
        <f t="shared" si="5"/>
        <v>2345</v>
      </c>
      <c r="BQ3">
        <f t="shared" si="5"/>
        <v>2380</v>
      </c>
      <c r="BR3">
        <f t="shared" si="5"/>
        <v>2415</v>
      </c>
      <c r="BS3">
        <f t="shared" si="5"/>
        <v>2450</v>
      </c>
      <c r="BT3">
        <f t="shared" si="5"/>
        <v>2485</v>
      </c>
      <c r="BU3">
        <f t="shared" si="5"/>
        <v>2520</v>
      </c>
      <c r="BV3">
        <f>BU3+17.5</f>
        <v>2537.5</v>
      </c>
      <c r="BW3">
        <f t="shared" ref="BW3:CV3" si="6">BV3+17.5</f>
        <v>2555</v>
      </c>
      <c r="BX3">
        <f t="shared" si="6"/>
        <v>2572.5</v>
      </c>
      <c r="BY3">
        <f t="shared" si="6"/>
        <v>2590</v>
      </c>
      <c r="BZ3">
        <f t="shared" si="6"/>
        <v>2607.5</v>
      </c>
      <c r="CA3">
        <f t="shared" si="6"/>
        <v>2625</v>
      </c>
      <c r="CB3">
        <f t="shared" si="6"/>
        <v>2642.5</v>
      </c>
      <c r="CC3">
        <f t="shared" si="6"/>
        <v>2660</v>
      </c>
      <c r="CD3">
        <f t="shared" si="6"/>
        <v>2677.5</v>
      </c>
      <c r="CE3">
        <f t="shared" si="6"/>
        <v>2695</v>
      </c>
      <c r="CF3">
        <f t="shared" si="6"/>
        <v>2712.5</v>
      </c>
      <c r="CG3">
        <f t="shared" si="6"/>
        <v>2730</v>
      </c>
      <c r="CH3">
        <f t="shared" si="6"/>
        <v>2747.5</v>
      </c>
      <c r="CI3">
        <f t="shared" si="6"/>
        <v>2765</v>
      </c>
      <c r="CJ3">
        <f t="shared" si="6"/>
        <v>2782.5</v>
      </c>
      <c r="CK3">
        <f t="shared" si="6"/>
        <v>2800</v>
      </c>
      <c r="CL3">
        <f t="shared" si="6"/>
        <v>2817.5</v>
      </c>
      <c r="CM3">
        <f t="shared" si="6"/>
        <v>2835</v>
      </c>
      <c r="CN3">
        <f t="shared" si="6"/>
        <v>2852.5</v>
      </c>
      <c r="CO3">
        <f t="shared" si="6"/>
        <v>2870</v>
      </c>
      <c r="CP3">
        <f t="shared" si="6"/>
        <v>2887.5</v>
      </c>
      <c r="CQ3">
        <f t="shared" si="6"/>
        <v>2905</v>
      </c>
      <c r="CR3">
        <f t="shared" si="6"/>
        <v>2922.5</v>
      </c>
      <c r="CS3">
        <f t="shared" si="6"/>
        <v>2940</v>
      </c>
      <c r="CT3">
        <f t="shared" si="6"/>
        <v>2957.5</v>
      </c>
      <c r="CU3">
        <f t="shared" si="6"/>
        <v>2975</v>
      </c>
      <c r="CV3">
        <f t="shared" si="6"/>
        <v>2992.5</v>
      </c>
      <c r="CW3" t="s">
        <v>167</v>
      </c>
    </row>
    <row r="4" spans="1:102" x14ac:dyDescent="0.25">
      <c r="A4" t="str">
        <f t="shared" si="2"/>
        <v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v>
      </c>
      <c r="B4" t="s">
        <v>65</v>
      </c>
      <c r="C4">
        <v>20</v>
      </c>
      <c r="D4">
        <v>30</v>
      </c>
      <c r="E4">
        <v>40</v>
      </c>
      <c r="F4">
        <v>50</v>
      </c>
      <c r="G4">
        <v>60</v>
      </c>
      <c r="H4">
        <v>70</v>
      </c>
      <c r="I4">
        <v>80</v>
      </c>
      <c r="J4">
        <v>90</v>
      </c>
      <c r="K4">
        <v>100</v>
      </c>
      <c r="L4">
        <v>110</v>
      </c>
      <c r="M4">
        <v>120</v>
      </c>
      <c r="N4">
        <v>130</v>
      </c>
      <c r="O4">
        <v>140</v>
      </c>
      <c r="P4">
        <v>150</v>
      </c>
      <c r="Q4">
        <v>160</v>
      </c>
      <c r="R4">
        <v>170</v>
      </c>
      <c r="S4">
        <v>180</v>
      </c>
      <c r="T4">
        <v>190</v>
      </c>
      <c r="U4">
        <v>200</v>
      </c>
      <c r="V4">
        <v>210</v>
      </c>
      <c r="W4">
        <v>220</v>
      </c>
      <c r="X4">
        <v>230</v>
      </c>
      <c r="Y4">
        <v>240</v>
      </c>
      <c r="Z4">
        <v>250</v>
      </c>
      <c r="AA4">
        <v>260</v>
      </c>
      <c r="AB4">
        <v>270</v>
      </c>
      <c r="AC4">
        <v>280</v>
      </c>
      <c r="AD4">
        <v>290</v>
      </c>
      <c r="AE4">
        <v>300</v>
      </c>
      <c r="AF4">
        <v>310</v>
      </c>
      <c r="AG4">
        <v>320</v>
      </c>
      <c r="AH4">
        <v>330</v>
      </c>
      <c r="AI4">
        <v>340</v>
      </c>
      <c r="AJ4">
        <v>350</v>
      </c>
      <c r="AK4">
        <v>360</v>
      </c>
      <c r="AL4">
        <v>370</v>
      </c>
      <c r="AM4">
        <v>380</v>
      </c>
      <c r="AN4">
        <v>390</v>
      </c>
      <c r="AO4">
        <v>400</v>
      </c>
      <c r="AP4">
        <v>410</v>
      </c>
      <c r="AQ4">
        <v>420</v>
      </c>
      <c r="AR4">
        <v>430</v>
      </c>
      <c r="AS4">
        <v>440</v>
      </c>
      <c r="AT4">
        <v>450</v>
      </c>
      <c r="AU4">
        <v>460</v>
      </c>
      <c r="AV4">
        <v>470</v>
      </c>
      <c r="AW4">
        <v>480</v>
      </c>
      <c r="AX4">
        <v>490</v>
      </c>
      <c r="AY4">
        <f>AX4+10</f>
        <v>500</v>
      </c>
      <c r="AZ4">
        <f t="shared" ref="AZ4:BU4" si="7">AY4+10</f>
        <v>510</v>
      </c>
      <c r="BA4">
        <f t="shared" si="7"/>
        <v>520</v>
      </c>
      <c r="BB4">
        <f t="shared" si="7"/>
        <v>530</v>
      </c>
      <c r="BC4">
        <f t="shared" si="7"/>
        <v>540</v>
      </c>
      <c r="BD4">
        <f t="shared" si="7"/>
        <v>550</v>
      </c>
      <c r="BE4">
        <f t="shared" si="7"/>
        <v>560</v>
      </c>
      <c r="BF4">
        <f t="shared" si="7"/>
        <v>570</v>
      </c>
      <c r="BG4">
        <f t="shared" si="7"/>
        <v>580</v>
      </c>
      <c r="BH4">
        <f t="shared" si="7"/>
        <v>590</v>
      </c>
      <c r="BI4">
        <f t="shared" si="7"/>
        <v>600</v>
      </c>
      <c r="BJ4">
        <f t="shared" si="7"/>
        <v>610</v>
      </c>
      <c r="BK4">
        <f t="shared" si="7"/>
        <v>620</v>
      </c>
      <c r="BL4">
        <f t="shared" si="7"/>
        <v>630</v>
      </c>
      <c r="BM4">
        <f t="shared" si="7"/>
        <v>640</v>
      </c>
      <c r="BN4">
        <f t="shared" si="7"/>
        <v>650</v>
      </c>
      <c r="BO4">
        <f t="shared" si="7"/>
        <v>660</v>
      </c>
      <c r="BP4">
        <f t="shared" si="7"/>
        <v>670</v>
      </c>
      <c r="BQ4">
        <f t="shared" si="7"/>
        <v>680</v>
      </c>
      <c r="BR4">
        <f t="shared" si="7"/>
        <v>690</v>
      </c>
      <c r="BS4">
        <f t="shared" si="7"/>
        <v>700</v>
      </c>
      <c r="BT4">
        <f t="shared" si="7"/>
        <v>710</v>
      </c>
      <c r="BU4">
        <f t="shared" si="7"/>
        <v>720</v>
      </c>
      <c r="BV4">
        <f>BU4+5</f>
        <v>725</v>
      </c>
      <c r="BW4">
        <f t="shared" ref="BW4:CV4" si="8">BV4+5</f>
        <v>730</v>
      </c>
      <c r="BX4">
        <f t="shared" si="8"/>
        <v>735</v>
      </c>
      <c r="BY4">
        <f t="shared" si="8"/>
        <v>740</v>
      </c>
      <c r="BZ4">
        <f t="shared" si="8"/>
        <v>745</v>
      </c>
      <c r="CA4">
        <f t="shared" si="8"/>
        <v>750</v>
      </c>
      <c r="CB4">
        <f t="shared" si="8"/>
        <v>755</v>
      </c>
      <c r="CC4">
        <f t="shared" si="8"/>
        <v>760</v>
      </c>
      <c r="CD4">
        <f t="shared" si="8"/>
        <v>765</v>
      </c>
      <c r="CE4">
        <f t="shared" si="8"/>
        <v>770</v>
      </c>
      <c r="CF4">
        <f t="shared" si="8"/>
        <v>775</v>
      </c>
      <c r="CG4">
        <f t="shared" si="8"/>
        <v>780</v>
      </c>
      <c r="CH4">
        <f t="shared" si="8"/>
        <v>785</v>
      </c>
      <c r="CI4">
        <f t="shared" si="8"/>
        <v>790</v>
      </c>
      <c r="CJ4">
        <f t="shared" si="8"/>
        <v>795</v>
      </c>
      <c r="CK4">
        <f t="shared" si="8"/>
        <v>800</v>
      </c>
      <c r="CL4">
        <f t="shared" si="8"/>
        <v>805</v>
      </c>
      <c r="CM4">
        <f t="shared" si="8"/>
        <v>810</v>
      </c>
      <c r="CN4">
        <f t="shared" si="8"/>
        <v>815</v>
      </c>
      <c r="CO4">
        <f t="shared" si="8"/>
        <v>820</v>
      </c>
      <c r="CP4">
        <f t="shared" si="8"/>
        <v>825</v>
      </c>
      <c r="CQ4">
        <f t="shared" si="8"/>
        <v>830</v>
      </c>
      <c r="CR4">
        <f t="shared" si="8"/>
        <v>835</v>
      </c>
      <c r="CS4">
        <f t="shared" si="8"/>
        <v>840</v>
      </c>
      <c r="CT4">
        <f t="shared" si="8"/>
        <v>845</v>
      </c>
      <c r="CU4">
        <f t="shared" si="8"/>
        <v>850</v>
      </c>
      <c r="CV4">
        <f t="shared" si="8"/>
        <v>855</v>
      </c>
      <c r="CW4" t="s">
        <v>151</v>
      </c>
    </row>
    <row r="5" spans="1:102" x14ac:dyDescent="0.25">
      <c r="A5" t="str">
        <f t="shared" si="2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5" t="s">
        <v>25</v>
      </c>
      <c r="C5">
        <v>8</v>
      </c>
      <c r="D5">
        <v>12</v>
      </c>
      <c r="E5">
        <v>16</v>
      </c>
      <c r="F5">
        <v>20</v>
      </c>
      <c r="G5">
        <v>24</v>
      </c>
      <c r="H5">
        <v>28</v>
      </c>
      <c r="I5">
        <v>32</v>
      </c>
      <c r="J5">
        <v>36</v>
      </c>
      <c r="K5">
        <v>40</v>
      </c>
      <c r="L5">
        <v>44</v>
      </c>
      <c r="M5">
        <v>48</v>
      </c>
      <c r="N5">
        <v>52</v>
      </c>
      <c r="O5">
        <v>56</v>
      </c>
      <c r="P5">
        <v>60</v>
      </c>
      <c r="Q5">
        <v>64</v>
      </c>
      <c r="R5">
        <v>68</v>
      </c>
      <c r="S5">
        <v>72</v>
      </c>
      <c r="T5">
        <v>76</v>
      </c>
      <c r="U5">
        <v>80</v>
      </c>
      <c r="V5">
        <v>84</v>
      </c>
      <c r="W5">
        <v>88</v>
      </c>
      <c r="X5">
        <v>92</v>
      </c>
      <c r="Y5">
        <v>96</v>
      </c>
      <c r="Z5">
        <v>100</v>
      </c>
      <c r="AA5">
        <v>104</v>
      </c>
      <c r="AB5">
        <v>108</v>
      </c>
      <c r="AC5">
        <v>112</v>
      </c>
      <c r="AD5">
        <v>116</v>
      </c>
      <c r="AE5">
        <v>120</v>
      </c>
      <c r="AF5">
        <v>124</v>
      </c>
      <c r="AG5">
        <v>128</v>
      </c>
      <c r="AH5">
        <v>132</v>
      </c>
      <c r="AI5">
        <v>136</v>
      </c>
      <c r="AJ5">
        <v>140</v>
      </c>
      <c r="AK5">
        <v>144</v>
      </c>
      <c r="AL5">
        <v>148</v>
      </c>
      <c r="AM5">
        <v>152</v>
      </c>
      <c r="AN5">
        <v>156</v>
      </c>
      <c r="AO5">
        <v>160</v>
      </c>
      <c r="AP5">
        <v>164</v>
      </c>
      <c r="AQ5">
        <v>168</v>
      </c>
      <c r="AR5">
        <v>172</v>
      </c>
      <c r="AS5">
        <v>176</v>
      </c>
      <c r="AT5">
        <v>180</v>
      </c>
      <c r="AU5">
        <v>184</v>
      </c>
      <c r="AV5">
        <v>188</v>
      </c>
      <c r="AW5">
        <v>192</v>
      </c>
      <c r="AX5">
        <v>196</v>
      </c>
      <c r="AY5">
        <f>AX5+4</f>
        <v>200</v>
      </c>
      <c r="AZ5">
        <f t="shared" ref="AZ5:BU5" si="9">AY5+4</f>
        <v>204</v>
      </c>
      <c r="BA5">
        <f t="shared" si="9"/>
        <v>208</v>
      </c>
      <c r="BB5">
        <f t="shared" si="9"/>
        <v>212</v>
      </c>
      <c r="BC5">
        <f t="shared" si="9"/>
        <v>216</v>
      </c>
      <c r="BD5">
        <f t="shared" si="9"/>
        <v>220</v>
      </c>
      <c r="BE5">
        <f t="shared" si="9"/>
        <v>224</v>
      </c>
      <c r="BF5">
        <f t="shared" si="9"/>
        <v>228</v>
      </c>
      <c r="BG5">
        <f t="shared" si="9"/>
        <v>232</v>
      </c>
      <c r="BH5">
        <f t="shared" si="9"/>
        <v>236</v>
      </c>
      <c r="BI5">
        <f t="shared" si="9"/>
        <v>240</v>
      </c>
      <c r="BJ5">
        <f t="shared" si="9"/>
        <v>244</v>
      </c>
      <c r="BK5">
        <f t="shared" si="9"/>
        <v>248</v>
      </c>
      <c r="BL5">
        <f t="shared" si="9"/>
        <v>252</v>
      </c>
      <c r="BM5">
        <f t="shared" si="9"/>
        <v>256</v>
      </c>
      <c r="BN5">
        <f t="shared" si="9"/>
        <v>260</v>
      </c>
      <c r="BO5">
        <f t="shared" si="9"/>
        <v>264</v>
      </c>
      <c r="BP5">
        <f t="shared" si="9"/>
        <v>268</v>
      </c>
      <c r="BQ5">
        <f t="shared" si="9"/>
        <v>272</v>
      </c>
      <c r="BR5">
        <f t="shared" si="9"/>
        <v>276</v>
      </c>
      <c r="BS5">
        <f t="shared" si="9"/>
        <v>280</v>
      </c>
      <c r="BT5">
        <f t="shared" si="9"/>
        <v>284</v>
      </c>
      <c r="BU5">
        <f t="shared" si="9"/>
        <v>288</v>
      </c>
      <c r="BV5">
        <f>BU5+2</f>
        <v>290</v>
      </c>
      <c r="BW5">
        <f t="shared" ref="BW5:CV5" si="10">BV5+2</f>
        <v>292</v>
      </c>
      <c r="BX5">
        <f t="shared" si="10"/>
        <v>294</v>
      </c>
      <c r="BY5">
        <f t="shared" si="10"/>
        <v>296</v>
      </c>
      <c r="BZ5">
        <f t="shared" si="10"/>
        <v>298</v>
      </c>
      <c r="CA5">
        <f t="shared" si="10"/>
        <v>300</v>
      </c>
      <c r="CB5">
        <f t="shared" si="10"/>
        <v>302</v>
      </c>
      <c r="CC5">
        <f t="shared" si="10"/>
        <v>304</v>
      </c>
      <c r="CD5">
        <f t="shared" si="10"/>
        <v>306</v>
      </c>
      <c r="CE5">
        <f t="shared" si="10"/>
        <v>308</v>
      </c>
      <c r="CF5">
        <f t="shared" si="10"/>
        <v>310</v>
      </c>
      <c r="CG5">
        <f t="shared" si="10"/>
        <v>312</v>
      </c>
      <c r="CH5">
        <f t="shared" si="10"/>
        <v>314</v>
      </c>
      <c r="CI5">
        <f t="shared" si="10"/>
        <v>316</v>
      </c>
      <c r="CJ5">
        <f t="shared" si="10"/>
        <v>318</v>
      </c>
      <c r="CK5">
        <f t="shared" si="10"/>
        <v>320</v>
      </c>
      <c r="CL5">
        <f t="shared" si="10"/>
        <v>322</v>
      </c>
      <c r="CM5">
        <f t="shared" si="10"/>
        <v>324</v>
      </c>
      <c r="CN5">
        <f t="shared" si="10"/>
        <v>326</v>
      </c>
      <c r="CO5">
        <f t="shared" si="10"/>
        <v>328</v>
      </c>
      <c r="CP5">
        <f t="shared" si="10"/>
        <v>330</v>
      </c>
      <c r="CQ5">
        <f t="shared" si="10"/>
        <v>332</v>
      </c>
      <c r="CR5">
        <f t="shared" si="10"/>
        <v>334</v>
      </c>
      <c r="CS5">
        <f t="shared" si="10"/>
        <v>336</v>
      </c>
      <c r="CT5">
        <f t="shared" si="10"/>
        <v>338</v>
      </c>
      <c r="CU5">
        <f t="shared" si="10"/>
        <v>340</v>
      </c>
      <c r="CV5">
        <f t="shared" si="10"/>
        <v>342</v>
      </c>
      <c r="CW5" t="s">
        <v>153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1.25;2.5;3.75;5;6.25;7.5;8.75;10;11.3;12.5;13.8;15;16.3;17.5;18.8;20;21.3;22.5;22.5;23.8;23.8;25;25.125;25.3;25.375;25.5;25.625;25.8;25.875;26;26.125;26.3;26.375;26.5;26.625;26.8;26.875;27;27.125;27.3;27.375;27.5;27.625;27.8;27.875;28;28.125;28.3;28.375;28.5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1.25</v>
      </c>
      <c r="BA6">
        <v>2.5</v>
      </c>
      <c r="BB6">
        <v>3.75</v>
      </c>
      <c r="BC6">
        <v>5</v>
      </c>
      <c r="BD6">
        <v>6.25</v>
      </c>
      <c r="BE6">
        <v>7.5</v>
      </c>
      <c r="BF6">
        <v>8.75</v>
      </c>
      <c r="BG6">
        <v>10</v>
      </c>
      <c r="BH6">
        <v>11.25</v>
      </c>
      <c r="BI6">
        <v>12.5</v>
      </c>
      <c r="BJ6">
        <v>13.75</v>
      </c>
      <c r="BK6">
        <v>15</v>
      </c>
      <c r="BL6">
        <v>16.25</v>
      </c>
      <c r="BM6">
        <v>17.5</v>
      </c>
      <c r="BN6">
        <v>18.75</v>
      </c>
      <c r="BO6">
        <v>20</v>
      </c>
      <c r="BP6">
        <v>21.25</v>
      </c>
      <c r="BQ6">
        <v>22.5</v>
      </c>
      <c r="BR6">
        <v>22.5</v>
      </c>
      <c r="BS6">
        <v>23.75</v>
      </c>
      <c r="BT6">
        <v>23.75</v>
      </c>
      <c r="BU6">
        <v>25</v>
      </c>
      <c r="BV6">
        <v>25.125</v>
      </c>
      <c r="BW6">
        <v>25.25</v>
      </c>
      <c r="BX6">
        <v>25.375</v>
      </c>
      <c r="BY6">
        <v>25.5</v>
      </c>
      <c r="BZ6">
        <v>25.625</v>
      </c>
      <c r="CA6">
        <v>25.75</v>
      </c>
      <c r="CB6">
        <v>25.875</v>
      </c>
      <c r="CC6">
        <v>26</v>
      </c>
      <c r="CD6">
        <v>26.125</v>
      </c>
      <c r="CE6">
        <v>26.25</v>
      </c>
      <c r="CF6">
        <v>26.375</v>
      </c>
      <c r="CG6">
        <v>26.5</v>
      </c>
      <c r="CH6">
        <v>26.625</v>
      </c>
      <c r="CI6">
        <v>26.75</v>
      </c>
      <c r="CJ6">
        <v>26.875</v>
      </c>
      <c r="CK6">
        <v>27</v>
      </c>
      <c r="CL6">
        <v>27.125</v>
      </c>
      <c r="CM6">
        <v>27.25</v>
      </c>
      <c r="CN6">
        <v>27.375</v>
      </c>
      <c r="CO6">
        <v>27.5</v>
      </c>
      <c r="CP6">
        <v>27.625</v>
      </c>
      <c r="CQ6">
        <v>27.75</v>
      </c>
      <c r="CR6">
        <v>27.875</v>
      </c>
      <c r="CS6">
        <v>28</v>
      </c>
      <c r="CT6">
        <v>28.125</v>
      </c>
      <c r="CU6">
        <v>28.25</v>
      </c>
      <c r="CV6">
        <v>28.375</v>
      </c>
      <c r="CW6" t="s">
        <v>70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v>10.25</v>
      </c>
      <c r="BW7">
        <v>10.5</v>
      </c>
      <c r="BX7">
        <v>10.75</v>
      </c>
      <c r="BY7">
        <v>11</v>
      </c>
      <c r="BZ7">
        <v>11.25</v>
      </c>
      <c r="CA7">
        <v>11.5</v>
      </c>
      <c r="CB7">
        <v>11.75</v>
      </c>
      <c r="CC7">
        <v>12</v>
      </c>
      <c r="CD7">
        <v>12.25</v>
      </c>
      <c r="CE7">
        <v>12.5</v>
      </c>
      <c r="CF7">
        <v>12.75</v>
      </c>
      <c r="CG7">
        <v>13</v>
      </c>
      <c r="CH7">
        <v>13.25</v>
      </c>
      <c r="CI7">
        <v>13.5</v>
      </c>
      <c r="CJ7">
        <v>13.75</v>
      </c>
      <c r="CK7">
        <v>14</v>
      </c>
      <c r="CL7">
        <v>14.25</v>
      </c>
      <c r="CM7">
        <v>14.5</v>
      </c>
      <c r="CN7">
        <v>14.75</v>
      </c>
      <c r="CO7">
        <v>15</v>
      </c>
      <c r="CP7">
        <v>15.25</v>
      </c>
      <c r="CQ7">
        <v>15.5</v>
      </c>
      <c r="CR7">
        <v>15.75</v>
      </c>
      <c r="CS7">
        <v>16</v>
      </c>
      <c r="CT7">
        <v>16.25</v>
      </c>
      <c r="CU7">
        <v>16.5</v>
      </c>
      <c r="CV7">
        <v>16.75</v>
      </c>
      <c r="CW7" t="s">
        <v>57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v>10.25</v>
      </c>
      <c r="BW8">
        <v>10.5</v>
      </c>
      <c r="BX8">
        <v>10.75</v>
      </c>
      <c r="BY8">
        <v>11</v>
      </c>
      <c r="BZ8">
        <v>11.25</v>
      </c>
      <c r="CA8">
        <v>11.5</v>
      </c>
      <c r="CB8">
        <v>11.75</v>
      </c>
      <c r="CC8">
        <v>12</v>
      </c>
      <c r="CD8">
        <v>12.25</v>
      </c>
      <c r="CE8">
        <v>12.5</v>
      </c>
      <c r="CF8">
        <v>12.75</v>
      </c>
      <c r="CG8">
        <v>13</v>
      </c>
      <c r="CH8">
        <v>13.25</v>
      </c>
      <c r="CI8">
        <v>13.5</v>
      </c>
      <c r="CJ8">
        <v>13.75</v>
      </c>
      <c r="CK8">
        <v>14</v>
      </c>
      <c r="CL8">
        <v>14.25</v>
      </c>
      <c r="CM8">
        <v>14.5</v>
      </c>
      <c r="CN8">
        <v>14.75</v>
      </c>
      <c r="CO8">
        <v>15</v>
      </c>
      <c r="CP8">
        <v>15.25</v>
      </c>
      <c r="CQ8">
        <v>15.5</v>
      </c>
      <c r="CR8">
        <v>15.75</v>
      </c>
      <c r="CS8">
        <v>16</v>
      </c>
      <c r="CT8">
        <v>16.25</v>
      </c>
      <c r="CU8">
        <v>16.5</v>
      </c>
      <c r="CV8">
        <v>16.75</v>
      </c>
      <c r="CW8" t="s">
        <v>57</v>
      </c>
    </row>
    <row r="9" spans="1:102" x14ac:dyDescent="0.25">
      <c r="A9" t="str">
        <f t="shared" si="2"/>
        <v>characterDodgePercent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9" t="s">
        <v>129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0.5</v>
      </c>
      <c r="BA9">
        <v>1</v>
      </c>
      <c r="BB9">
        <v>1.5</v>
      </c>
      <c r="BC9">
        <v>2</v>
      </c>
      <c r="BD9">
        <v>2.5</v>
      </c>
      <c r="BE9">
        <v>3</v>
      </c>
      <c r="BF9">
        <v>3.5</v>
      </c>
      <c r="BG9">
        <v>4</v>
      </c>
      <c r="BH9">
        <v>4.5</v>
      </c>
      <c r="BI9">
        <v>5</v>
      </c>
      <c r="BJ9">
        <v>5.5</v>
      </c>
      <c r="BK9">
        <v>6</v>
      </c>
      <c r="BL9">
        <v>6.5</v>
      </c>
      <c r="BM9">
        <v>7</v>
      </c>
      <c r="BN9">
        <v>7.5</v>
      </c>
      <c r="BO9">
        <v>8</v>
      </c>
      <c r="BP9">
        <v>8.5</v>
      </c>
      <c r="BQ9">
        <v>9</v>
      </c>
      <c r="BR9">
        <v>9</v>
      </c>
      <c r="BS9">
        <v>9.5</v>
      </c>
      <c r="BT9">
        <v>9.5</v>
      </c>
      <c r="BU9">
        <v>10</v>
      </c>
      <c r="BV9">
        <v>10.25</v>
      </c>
      <c r="BW9">
        <v>10.5</v>
      </c>
      <c r="BX9">
        <v>10.75</v>
      </c>
      <c r="BY9">
        <v>11</v>
      </c>
      <c r="BZ9">
        <v>11.25</v>
      </c>
      <c r="CA9">
        <v>11.5</v>
      </c>
      <c r="CB9">
        <v>11.75</v>
      </c>
      <c r="CC9">
        <v>12</v>
      </c>
      <c r="CD9">
        <v>12.25</v>
      </c>
      <c r="CE9">
        <v>12.5</v>
      </c>
      <c r="CF9">
        <v>12.75</v>
      </c>
      <c r="CG9">
        <v>13</v>
      </c>
      <c r="CH9">
        <v>13.25</v>
      </c>
      <c r="CI9">
        <v>13.5</v>
      </c>
      <c r="CJ9">
        <v>13.75</v>
      </c>
      <c r="CK9">
        <v>14</v>
      </c>
      <c r="CL9">
        <v>14.25</v>
      </c>
      <c r="CM9">
        <v>14.5</v>
      </c>
      <c r="CN9">
        <v>14.75</v>
      </c>
      <c r="CO9">
        <v>15</v>
      </c>
      <c r="CP9">
        <v>15.25</v>
      </c>
      <c r="CQ9">
        <v>15.5</v>
      </c>
      <c r="CR9">
        <v>15.75</v>
      </c>
      <c r="CS9">
        <v>16</v>
      </c>
      <c r="CT9">
        <v>16.25</v>
      </c>
      <c r="CU9">
        <v>16.5</v>
      </c>
      <c r="CV9">
        <v>16.75</v>
      </c>
      <c r="CW9" t="s">
        <v>57</v>
      </c>
    </row>
    <row r="10" spans="1:102" x14ac:dyDescent="0.25">
      <c r="A10" t="str">
        <f t="shared" si="2"/>
        <v>characterDeflectProjectile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130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v>10.25</v>
      </c>
      <c r="BW10">
        <v>10.5</v>
      </c>
      <c r="BX10">
        <v>10.75</v>
      </c>
      <c r="BY10">
        <v>11</v>
      </c>
      <c r="BZ10">
        <v>11.25</v>
      </c>
      <c r="CA10">
        <v>11.5</v>
      </c>
      <c r="CB10">
        <v>11.75</v>
      </c>
      <c r="CC10">
        <v>12</v>
      </c>
      <c r="CD10">
        <v>12.25</v>
      </c>
      <c r="CE10">
        <v>12.5</v>
      </c>
      <c r="CF10">
        <v>12.75</v>
      </c>
      <c r="CG10">
        <v>13</v>
      </c>
      <c r="CH10">
        <v>13.25</v>
      </c>
      <c r="CI10">
        <v>13.5</v>
      </c>
      <c r="CJ10">
        <v>13.75</v>
      </c>
      <c r="CK10">
        <v>14</v>
      </c>
      <c r="CL10">
        <v>14.25</v>
      </c>
      <c r="CM10">
        <v>14.5</v>
      </c>
      <c r="CN10">
        <v>14.75</v>
      </c>
      <c r="CO10">
        <v>15</v>
      </c>
      <c r="CP10">
        <v>15.25</v>
      </c>
      <c r="CQ10">
        <v>15.5</v>
      </c>
      <c r="CR10">
        <v>15.75</v>
      </c>
      <c r="CS10">
        <v>16</v>
      </c>
      <c r="CT10">
        <v>16.25</v>
      </c>
      <c r="CU10">
        <v>16.5</v>
      </c>
      <c r="CV10">
        <v>16.75</v>
      </c>
      <c r="CW10" t="s">
        <v>57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X14"/>
  <sheetViews>
    <sheetView workbookViewId="0">
      <selection sqref="A1:A10"/>
    </sheetView>
  </sheetViews>
  <sheetFormatPr defaultRowHeight="15" x14ac:dyDescent="0.25"/>
  <cols>
    <col min="2" max="2" width="36.42578125" bestFit="1" customWidth="1"/>
    <col min="3" max="5" width="3" bestFit="1" customWidth="1"/>
    <col min="6" max="44" width="4" bestFit="1" customWidth="1"/>
    <col min="45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57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77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57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90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57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60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155</v>
      </c>
    </row>
    <row r="7" spans="1:102" x14ac:dyDescent="0.25">
      <c r="A7" t="str">
        <f t="shared" si="0"/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7" t="s">
        <v>152</v>
      </c>
      <c r="C7">
        <v>12</v>
      </c>
      <c r="D7">
        <v>18</v>
      </c>
      <c r="E7">
        <v>24</v>
      </c>
      <c r="F7">
        <v>30</v>
      </c>
      <c r="G7">
        <v>36</v>
      </c>
      <c r="H7">
        <v>42</v>
      </c>
      <c r="I7">
        <v>48</v>
      </c>
      <c r="J7">
        <v>54</v>
      </c>
      <c r="K7">
        <v>60</v>
      </c>
      <c r="L7">
        <v>66</v>
      </c>
      <c r="M7">
        <v>72</v>
      </c>
      <c r="N7">
        <v>78</v>
      </c>
      <c r="O7">
        <v>84</v>
      </c>
      <c r="P7">
        <v>90</v>
      </c>
      <c r="Q7">
        <v>96</v>
      </c>
      <c r="R7">
        <v>102</v>
      </c>
      <c r="S7">
        <v>108</v>
      </c>
      <c r="T7">
        <v>114</v>
      </c>
      <c r="U7">
        <v>120</v>
      </c>
      <c r="V7">
        <v>126</v>
      </c>
      <c r="W7">
        <v>132</v>
      </c>
      <c r="X7">
        <v>138</v>
      </c>
      <c r="Y7">
        <v>144</v>
      </c>
      <c r="Z7">
        <v>150</v>
      </c>
      <c r="AA7">
        <v>156</v>
      </c>
      <c r="AB7">
        <v>162</v>
      </c>
      <c r="AC7">
        <v>168</v>
      </c>
      <c r="AD7">
        <v>174</v>
      </c>
      <c r="AE7">
        <v>180</v>
      </c>
      <c r="AF7">
        <v>186</v>
      </c>
      <c r="AG7">
        <v>192</v>
      </c>
      <c r="AH7">
        <v>198</v>
      </c>
      <c r="AI7">
        <v>204</v>
      </c>
      <c r="AJ7">
        <v>210</v>
      </c>
      <c r="AK7">
        <v>216</v>
      </c>
      <c r="AL7">
        <v>222</v>
      </c>
      <c r="AM7">
        <v>228</v>
      </c>
      <c r="AN7">
        <v>234</v>
      </c>
      <c r="AO7">
        <v>240</v>
      </c>
      <c r="AP7">
        <v>246</v>
      </c>
      <c r="AQ7">
        <v>252</v>
      </c>
      <c r="AR7">
        <v>258</v>
      </c>
      <c r="AS7">
        <v>264</v>
      </c>
      <c r="AT7">
        <v>270</v>
      </c>
      <c r="AU7">
        <v>276</v>
      </c>
      <c r="AV7">
        <v>282</v>
      </c>
      <c r="AW7">
        <v>288</v>
      </c>
      <c r="AX7">
        <v>294</v>
      </c>
      <c r="AY7">
        <f>AX7+6</f>
        <v>300</v>
      </c>
      <c r="AZ7">
        <f t="shared" ref="AZ7:BU7" si="3">AY7+6</f>
        <v>306</v>
      </c>
      <c r="BA7">
        <f t="shared" si="3"/>
        <v>312</v>
      </c>
      <c r="BB7">
        <f t="shared" si="3"/>
        <v>318</v>
      </c>
      <c r="BC7">
        <f t="shared" si="3"/>
        <v>324</v>
      </c>
      <c r="BD7">
        <f t="shared" si="3"/>
        <v>330</v>
      </c>
      <c r="BE7">
        <f t="shared" si="3"/>
        <v>336</v>
      </c>
      <c r="BF7">
        <f t="shared" si="3"/>
        <v>342</v>
      </c>
      <c r="BG7">
        <f t="shared" si="3"/>
        <v>348</v>
      </c>
      <c r="BH7">
        <f t="shared" si="3"/>
        <v>354</v>
      </c>
      <c r="BI7">
        <f t="shared" si="3"/>
        <v>360</v>
      </c>
      <c r="BJ7">
        <f t="shared" si="3"/>
        <v>366</v>
      </c>
      <c r="BK7">
        <f t="shared" si="3"/>
        <v>372</v>
      </c>
      <c r="BL7">
        <f t="shared" si="3"/>
        <v>378</v>
      </c>
      <c r="BM7">
        <f t="shared" si="3"/>
        <v>384</v>
      </c>
      <c r="BN7">
        <f t="shared" si="3"/>
        <v>390</v>
      </c>
      <c r="BO7">
        <f t="shared" si="3"/>
        <v>396</v>
      </c>
      <c r="BP7">
        <f t="shared" si="3"/>
        <v>402</v>
      </c>
      <c r="BQ7">
        <f t="shared" si="3"/>
        <v>408</v>
      </c>
      <c r="BR7">
        <f t="shared" si="3"/>
        <v>414</v>
      </c>
      <c r="BS7">
        <f t="shared" si="3"/>
        <v>420</v>
      </c>
      <c r="BT7">
        <f t="shared" si="3"/>
        <v>426</v>
      </c>
      <c r="BU7">
        <f t="shared" si="3"/>
        <v>432</v>
      </c>
      <c r="BV7">
        <f>BU7+3</f>
        <v>435</v>
      </c>
      <c r="BW7">
        <f t="shared" ref="BW7:CV7" si="4">BV7+3</f>
        <v>438</v>
      </c>
      <c r="BX7">
        <f t="shared" si="4"/>
        <v>441</v>
      </c>
      <c r="BY7">
        <f t="shared" si="4"/>
        <v>444</v>
      </c>
      <c r="BZ7">
        <f t="shared" si="4"/>
        <v>447</v>
      </c>
      <c r="CA7">
        <f t="shared" si="4"/>
        <v>450</v>
      </c>
      <c r="CB7">
        <f t="shared" si="4"/>
        <v>453</v>
      </c>
      <c r="CC7">
        <f t="shared" si="4"/>
        <v>456</v>
      </c>
      <c r="CD7">
        <f t="shared" si="4"/>
        <v>459</v>
      </c>
      <c r="CE7">
        <f t="shared" si="4"/>
        <v>462</v>
      </c>
      <c r="CF7">
        <f t="shared" si="4"/>
        <v>465</v>
      </c>
      <c r="CG7">
        <f t="shared" si="4"/>
        <v>468</v>
      </c>
      <c r="CH7">
        <f t="shared" si="4"/>
        <v>471</v>
      </c>
      <c r="CI7">
        <f t="shared" si="4"/>
        <v>474</v>
      </c>
      <c r="CJ7">
        <f t="shared" si="4"/>
        <v>477</v>
      </c>
      <c r="CK7">
        <f t="shared" si="4"/>
        <v>480</v>
      </c>
      <c r="CL7">
        <f t="shared" si="4"/>
        <v>483</v>
      </c>
      <c r="CM7">
        <f t="shared" si="4"/>
        <v>486</v>
      </c>
      <c r="CN7">
        <f t="shared" si="4"/>
        <v>489</v>
      </c>
      <c r="CO7">
        <f t="shared" si="4"/>
        <v>492</v>
      </c>
      <c r="CP7">
        <f t="shared" si="4"/>
        <v>495</v>
      </c>
      <c r="CQ7">
        <f t="shared" si="4"/>
        <v>498</v>
      </c>
      <c r="CR7">
        <f t="shared" si="4"/>
        <v>501</v>
      </c>
      <c r="CS7">
        <f t="shared" si="4"/>
        <v>504</v>
      </c>
      <c r="CT7">
        <f t="shared" si="4"/>
        <v>507</v>
      </c>
      <c r="CU7">
        <f t="shared" si="4"/>
        <v>510</v>
      </c>
      <c r="CV7">
        <f t="shared" si="4"/>
        <v>513</v>
      </c>
      <c r="CW7" t="s">
        <v>156</v>
      </c>
    </row>
    <row r="8" spans="1:102" x14ac:dyDescent="0.25">
      <c r="A8" t="str">
        <f t="shared" si="0"/>
        <v>characterLife,23.000000;46;69;92;115;138;161;184;207;230;253;276;299;322;345;368;391;414;437;460;483;506;529;552;575;598;621;644;667;690;713;736;759;782;805;828;851;874;897;920;943;966;989;1012;1035;1058;1081;1104;1127;1150;1173;1196;1219;1242;1265;1288;1311;1334;1357;1380;1403;1426;1449;1472;1495;1518;1541;1564;1587;1610;1633;1656;1667.5;1679;1690.5;1702;1713.5;1725;1736.5;1748;1759.5;1771;1782.5;1794;1805.5;1817;1828.5;1840;1851.5;1863;1874.5;1886;1897.5;1909;1920.5;1932;1943.5;1955;1966.5;1978,</v>
      </c>
      <c r="B8" t="s">
        <v>168</v>
      </c>
      <c r="C8">
        <v>46</v>
      </c>
      <c r="D8">
        <v>69</v>
      </c>
      <c r="E8">
        <v>92</v>
      </c>
      <c r="F8">
        <v>115</v>
      </c>
      <c r="G8">
        <v>138</v>
      </c>
      <c r="H8">
        <v>161</v>
      </c>
      <c r="I8">
        <v>184</v>
      </c>
      <c r="J8">
        <v>207</v>
      </c>
      <c r="K8">
        <v>230</v>
      </c>
      <c r="L8">
        <v>253</v>
      </c>
      <c r="M8">
        <v>276</v>
      </c>
      <c r="N8">
        <v>299</v>
      </c>
      <c r="O8">
        <v>322</v>
      </c>
      <c r="P8">
        <v>345</v>
      </c>
      <c r="Q8">
        <v>368</v>
      </c>
      <c r="R8">
        <v>391</v>
      </c>
      <c r="S8">
        <v>414</v>
      </c>
      <c r="T8">
        <v>437</v>
      </c>
      <c r="U8">
        <v>460</v>
      </c>
      <c r="V8">
        <v>483</v>
      </c>
      <c r="W8">
        <v>506</v>
      </c>
      <c r="X8">
        <v>529</v>
      </c>
      <c r="Y8">
        <v>552</v>
      </c>
      <c r="Z8">
        <v>575</v>
      </c>
      <c r="AA8">
        <v>598</v>
      </c>
      <c r="AB8">
        <v>621</v>
      </c>
      <c r="AC8">
        <v>644</v>
      </c>
      <c r="AD8">
        <v>667</v>
      </c>
      <c r="AE8">
        <v>690</v>
      </c>
      <c r="AF8">
        <v>713</v>
      </c>
      <c r="AG8">
        <v>736</v>
      </c>
      <c r="AH8">
        <v>759</v>
      </c>
      <c r="AI8">
        <v>782</v>
      </c>
      <c r="AJ8">
        <v>805</v>
      </c>
      <c r="AK8">
        <v>828</v>
      </c>
      <c r="AL8">
        <v>851</v>
      </c>
      <c r="AM8">
        <v>874</v>
      </c>
      <c r="AN8">
        <v>897</v>
      </c>
      <c r="AO8">
        <v>920</v>
      </c>
      <c r="AP8">
        <v>943</v>
      </c>
      <c r="AQ8">
        <v>966</v>
      </c>
      <c r="AR8">
        <v>989</v>
      </c>
      <c r="AS8">
        <v>1012</v>
      </c>
      <c r="AT8">
        <v>1035</v>
      </c>
      <c r="AU8">
        <v>1058</v>
      </c>
      <c r="AV8">
        <v>1081</v>
      </c>
      <c r="AW8">
        <v>1104</v>
      </c>
      <c r="AX8">
        <v>1127</v>
      </c>
      <c r="AY8">
        <f>AX8+23</f>
        <v>1150</v>
      </c>
      <c r="AZ8">
        <f t="shared" ref="AZ8:BU8" si="5">AY8+23</f>
        <v>1173</v>
      </c>
      <c r="BA8">
        <f t="shared" si="5"/>
        <v>1196</v>
      </c>
      <c r="BB8">
        <f t="shared" si="5"/>
        <v>1219</v>
      </c>
      <c r="BC8">
        <f t="shared" si="5"/>
        <v>1242</v>
      </c>
      <c r="BD8">
        <f t="shared" si="5"/>
        <v>1265</v>
      </c>
      <c r="BE8">
        <f t="shared" si="5"/>
        <v>1288</v>
      </c>
      <c r="BF8">
        <f t="shared" si="5"/>
        <v>1311</v>
      </c>
      <c r="BG8">
        <f t="shared" si="5"/>
        <v>1334</v>
      </c>
      <c r="BH8">
        <f t="shared" si="5"/>
        <v>1357</v>
      </c>
      <c r="BI8">
        <f t="shared" si="5"/>
        <v>1380</v>
      </c>
      <c r="BJ8">
        <f t="shared" si="5"/>
        <v>1403</v>
      </c>
      <c r="BK8">
        <f t="shared" si="5"/>
        <v>1426</v>
      </c>
      <c r="BL8">
        <f t="shared" si="5"/>
        <v>1449</v>
      </c>
      <c r="BM8">
        <f t="shared" si="5"/>
        <v>1472</v>
      </c>
      <c r="BN8">
        <f t="shared" si="5"/>
        <v>1495</v>
      </c>
      <c r="BO8">
        <f t="shared" si="5"/>
        <v>1518</v>
      </c>
      <c r="BP8">
        <f t="shared" si="5"/>
        <v>1541</v>
      </c>
      <c r="BQ8">
        <f t="shared" si="5"/>
        <v>1564</v>
      </c>
      <c r="BR8">
        <f t="shared" si="5"/>
        <v>1587</v>
      </c>
      <c r="BS8">
        <f t="shared" si="5"/>
        <v>1610</v>
      </c>
      <c r="BT8">
        <f t="shared" si="5"/>
        <v>1633</v>
      </c>
      <c r="BU8">
        <f t="shared" si="5"/>
        <v>1656</v>
      </c>
      <c r="BV8">
        <f>BU8+11.5</f>
        <v>1667.5</v>
      </c>
      <c r="BW8">
        <f t="shared" ref="BW8:CV8" si="6">BV8+11.5</f>
        <v>1679</v>
      </c>
      <c r="BX8">
        <f t="shared" si="6"/>
        <v>1690.5</v>
      </c>
      <c r="BY8">
        <f t="shared" si="6"/>
        <v>1702</v>
      </c>
      <c r="BZ8">
        <f t="shared" si="6"/>
        <v>1713.5</v>
      </c>
      <c r="CA8">
        <f t="shared" si="6"/>
        <v>1725</v>
      </c>
      <c r="CB8">
        <f t="shared" si="6"/>
        <v>1736.5</v>
      </c>
      <c r="CC8">
        <f t="shared" si="6"/>
        <v>1748</v>
      </c>
      <c r="CD8">
        <f t="shared" si="6"/>
        <v>1759.5</v>
      </c>
      <c r="CE8">
        <f t="shared" si="6"/>
        <v>1771</v>
      </c>
      <c r="CF8">
        <f t="shared" si="6"/>
        <v>1782.5</v>
      </c>
      <c r="CG8">
        <f t="shared" si="6"/>
        <v>1794</v>
      </c>
      <c r="CH8">
        <f t="shared" si="6"/>
        <v>1805.5</v>
      </c>
      <c r="CI8">
        <f t="shared" si="6"/>
        <v>1817</v>
      </c>
      <c r="CJ8">
        <f t="shared" si="6"/>
        <v>1828.5</v>
      </c>
      <c r="CK8">
        <f t="shared" si="6"/>
        <v>1840</v>
      </c>
      <c r="CL8">
        <f t="shared" si="6"/>
        <v>1851.5</v>
      </c>
      <c r="CM8">
        <f t="shared" si="6"/>
        <v>1863</v>
      </c>
      <c r="CN8">
        <f t="shared" si="6"/>
        <v>1874.5</v>
      </c>
      <c r="CO8">
        <f t="shared" si="6"/>
        <v>1886</v>
      </c>
      <c r="CP8">
        <f t="shared" si="6"/>
        <v>1897.5</v>
      </c>
      <c r="CQ8">
        <f t="shared" si="6"/>
        <v>1909</v>
      </c>
      <c r="CR8">
        <f t="shared" si="6"/>
        <v>1920.5</v>
      </c>
      <c r="CS8">
        <f t="shared" si="6"/>
        <v>1932</v>
      </c>
      <c r="CT8">
        <f t="shared" si="6"/>
        <v>1943.5</v>
      </c>
      <c r="CU8">
        <f t="shared" si="6"/>
        <v>1955</v>
      </c>
      <c r="CV8">
        <f t="shared" si="6"/>
        <v>1966.5</v>
      </c>
      <c r="CW8" t="s">
        <v>171</v>
      </c>
    </row>
    <row r="9" spans="1:102" x14ac:dyDescent="0.25">
      <c r="A9" t="str">
        <f t="shared" si="0"/>
        <v>characterMana,12.000000;24;36;48;60;72;84;96;108;120;132;144;156;168;180;192;204;216;228;240;252;264;276;288;300;312;324;336;348;360;372;384;396;408;420;432;444;456;468;480;492;504;516;528;540;552;564;576;588;610;632;654;676;698;720;742;764;786;808;830;852;874;896;918;940;962;984;1006;1028;1050;1072;1094;1105;1116;1127;1138;1149;1160;1171;1182;1193;1204;1215;1226;1237;1248;1259;1270;1281;1292;1303;1314;1325;1336;1347;1358;1369;1380;1391;1402,</v>
      </c>
      <c r="B9" t="s">
        <v>97</v>
      </c>
      <c r="C9">
        <v>24</v>
      </c>
      <c r="D9">
        <v>36</v>
      </c>
      <c r="E9">
        <v>48</v>
      </c>
      <c r="F9">
        <v>60</v>
      </c>
      <c r="G9">
        <v>72</v>
      </c>
      <c r="H9">
        <v>84</v>
      </c>
      <c r="I9">
        <v>96</v>
      </c>
      <c r="J9">
        <v>108</v>
      </c>
      <c r="K9">
        <v>120</v>
      </c>
      <c r="L9">
        <v>132</v>
      </c>
      <c r="M9">
        <v>144</v>
      </c>
      <c r="N9">
        <v>156</v>
      </c>
      <c r="O9">
        <v>168</v>
      </c>
      <c r="P9">
        <v>180</v>
      </c>
      <c r="Q9">
        <v>192</v>
      </c>
      <c r="R9">
        <v>204</v>
      </c>
      <c r="S9">
        <v>216</v>
      </c>
      <c r="T9">
        <v>228</v>
      </c>
      <c r="U9">
        <v>240</v>
      </c>
      <c r="V9">
        <v>252</v>
      </c>
      <c r="W9">
        <v>264</v>
      </c>
      <c r="X9">
        <v>276</v>
      </c>
      <c r="Y9">
        <v>288</v>
      </c>
      <c r="Z9">
        <v>300</v>
      </c>
      <c r="AA9">
        <v>312</v>
      </c>
      <c r="AB9">
        <v>324</v>
      </c>
      <c r="AC9">
        <v>336</v>
      </c>
      <c r="AD9">
        <v>348</v>
      </c>
      <c r="AE9">
        <v>360</v>
      </c>
      <c r="AF9">
        <v>372</v>
      </c>
      <c r="AG9">
        <v>384</v>
      </c>
      <c r="AH9">
        <v>396</v>
      </c>
      <c r="AI9">
        <v>408</v>
      </c>
      <c r="AJ9">
        <v>420</v>
      </c>
      <c r="AK9">
        <v>432</v>
      </c>
      <c r="AL9">
        <v>444</v>
      </c>
      <c r="AM9">
        <v>456</v>
      </c>
      <c r="AN9">
        <v>468</v>
      </c>
      <c r="AO9">
        <v>480</v>
      </c>
      <c r="AP9">
        <v>492</v>
      </c>
      <c r="AQ9">
        <v>504</v>
      </c>
      <c r="AR9">
        <v>516</v>
      </c>
      <c r="AS9">
        <v>528</v>
      </c>
      <c r="AT9">
        <v>540</v>
      </c>
      <c r="AU9">
        <v>552</v>
      </c>
      <c r="AV9">
        <v>564</v>
      </c>
      <c r="AW9">
        <v>576</v>
      </c>
      <c r="AX9">
        <v>588</v>
      </c>
      <c r="AY9">
        <f>AX9+22</f>
        <v>610</v>
      </c>
      <c r="AZ9">
        <f t="shared" ref="AZ9:BU9" si="7">AY9+22</f>
        <v>632</v>
      </c>
      <c r="BA9">
        <f t="shared" si="7"/>
        <v>654</v>
      </c>
      <c r="BB9">
        <f t="shared" si="7"/>
        <v>676</v>
      </c>
      <c r="BC9">
        <f t="shared" si="7"/>
        <v>698</v>
      </c>
      <c r="BD9">
        <f t="shared" si="7"/>
        <v>720</v>
      </c>
      <c r="BE9">
        <f t="shared" si="7"/>
        <v>742</v>
      </c>
      <c r="BF9">
        <f t="shared" si="7"/>
        <v>764</v>
      </c>
      <c r="BG9">
        <f t="shared" si="7"/>
        <v>786</v>
      </c>
      <c r="BH9">
        <f t="shared" si="7"/>
        <v>808</v>
      </c>
      <c r="BI9">
        <f t="shared" si="7"/>
        <v>830</v>
      </c>
      <c r="BJ9">
        <f t="shared" si="7"/>
        <v>852</v>
      </c>
      <c r="BK9">
        <f t="shared" si="7"/>
        <v>874</v>
      </c>
      <c r="BL9">
        <f t="shared" si="7"/>
        <v>896</v>
      </c>
      <c r="BM9">
        <f t="shared" si="7"/>
        <v>918</v>
      </c>
      <c r="BN9">
        <f t="shared" si="7"/>
        <v>940</v>
      </c>
      <c r="BO9">
        <f t="shared" si="7"/>
        <v>962</v>
      </c>
      <c r="BP9">
        <f t="shared" si="7"/>
        <v>984</v>
      </c>
      <c r="BQ9">
        <f t="shared" si="7"/>
        <v>1006</v>
      </c>
      <c r="BR9">
        <f t="shared" si="7"/>
        <v>1028</v>
      </c>
      <c r="BS9">
        <f t="shared" si="7"/>
        <v>1050</v>
      </c>
      <c r="BT9">
        <f t="shared" si="7"/>
        <v>1072</v>
      </c>
      <c r="BU9">
        <f t="shared" si="7"/>
        <v>1094</v>
      </c>
      <c r="BV9">
        <f>BU9+11</f>
        <v>1105</v>
      </c>
      <c r="BW9">
        <f t="shared" ref="BW9:CV9" si="8">BV9+11</f>
        <v>1116</v>
      </c>
      <c r="BX9">
        <f t="shared" si="8"/>
        <v>1127</v>
      </c>
      <c r="BY9">
        <f t="shared" si="8"/>
        <v>1138</v>
      </c>
      <c r="BZ9">
        <f t="shared" si="8"/>
        <v>1149</v>
      </c>
      <c r="CA9">
        <f t="shared" si="8"/>
        <v>1160</v>
      </c>
      <c r="CB9">
        <f t="shared" si="8"/>
        <v>1171</v>
      </c>
      <c r="CC9">
        <f t="shared" si="8"/>
        <v>1182</v>
      </c>
      <c r="CD9">
        <f t="shared" si="8"/>
        <v>1193</v>
      </c>
      <c r="CE9">
        <f t="shared" si="8"/>
        <v>1204</v>
      </c>
      <c r="CF9">
        <f t="shared" si="8"/>
        <v>1215</v>
      </c>
      <c r="CG9">
        <f t="shared" si="8"/>
        <v>1226</v>
      </c>
      <c r="CH9">
        <f t="shared" si="8"/>
        <v>1237</v>
      </c>
      <c r="CI9">
        <f t="shared" si="8"/>
        <v>1248</v>
      </c>
      <c r="CJ9">
        <f t="shared" si="8"/>
        <v>1259</v>
      </c>
      <c r="CK9">
        <f t="shared" si="8"/>
        <v>1270</v>
      </c>
      <c r="CL9">
        <f t="shared" si="8"/>
        <v>1281</v>
      </c>
      <c r="CM9">
        <f t="shared" si="8"/>
        <v>1292</v>
      </c>
      <c r="CN9">
        <f t="shared" si="8"/>
        <v>1303</v>
      </c>
      <c r="CO9">
        <f t="shared" si="8"/>
        <v>1314</v>
      </c>
      <c r="CP9">
        <f t="shared" si="8"/>
        <v>1325</v>
      </c>
      <c r="CQ9">
        <f t="shared" si="8"/>
        <v>1336</v>
      </c>
      <c r="CR9">
        <f t="shared" si="8"/>
        <v>1347</v>
      </c>
      <c r="CS9">
        <f t="shared" si="8"/>
        <v>1358</v>
      </c>
      <c r="CT9">
        <f t="shared" si="8"/>
        <v>1369</v>
      </c>
      <c r="CU9">
        <f t="shared" si="8"/>
        <v>1380</v>
      </c>
      <c r="CV9">
        <f t="shared" si="8"/>
        <v>1391</v>
      </c>
      <c r="CW9" t="s">
        <v>172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56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155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21:CX30">
    <sortCondition ref="B21:B30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X14"/>
  <sheetViews>
    <sheetView workbookViewId="0">
      <selection sqref="A1:A10"/>
    </sheetView>
  </sheetViews>
  <sheetFormatPr defaultRowHeight="15" x14ac:dyDescent="0.25"/>
  <cols>
    <col min="2" max="2" width="36.42578125" bestFit="1" customWidth="1"/>
    <col min="3" max="4" width="3" bestFit="1" customWidth="1"/>
    <col min="5" max="34" width="4" bestFit="1" customWidth="1"/>
    <col min="35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57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77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57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90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57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60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155</v>
      </c>
    </row>
    <row r="7" spans="1:102" x14ac:dyDescent="0.25">
      <c r="A7" t="str">
        <f t="shared" si="0"/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7" t="s">
        <v>152</v>
      </c>
      <c r="C7">
        <v>12</v>
      </c>
      <c r="D7">
        <v>18</v>
      </c>
      <c r="E7">
        <v>24</v>
      </c>
      <c r="F7">
        <v>30</v>
      </c>
      <c r="G7">
        <v>36</v>
      </c>
      <c r="H7">
        <v>42</v>
      </c>
      <c r="I7">
        <v>48</v>
      </c>
      <c r="J7">
        <v>54</v>
      </c>
      <c r="K7">
        <v>60</v>
      </c>
      <c r="L7">
        <v>66</v>
      </c>
      <c r="M7">
        <v>72</v>
      </c>
      <c r="N7">
        <v>78</v>
      </c>
      <c r="O7">
        <v>84</v>
      </c>
      <c r="P7">
        <v>90</v>
      </c>
      <c r="Q7">
        <v>96</v>
      </c>
      <c r="R7">
        <v>102</v>
      </c>
      <c r="S7">
        <v>108</v>
      </c>
      <c r="T7">
        <v>114</v>
      </c>
      <c r="U7">
        <v>120</v>
      </c>
      <c r="V7">
        <v>126</v>
      </c>
      <c r="W7">
        <v>132</v>
      </c>
      <c r="X7">
        <v>138</v>
      </c>
      <c r="Y7">
        <v>144</v>
      </c>
      <c r="Z7">
        <v>150</v>
      </c>
      <c r="AA7">
        <v>156</v>
      </c>
      <c r="AB7">
        <v>162</v>
      </c>
      <c r="AC7">
        <v>168</v>
      </c>
      <c r="AD7">
        <v>174</v>
      </c>
      <c r="AE7">
        <v>180</v>
      </c>
      <c r="AF7">
        <v>186</v>
      </c>
      <c r="AG7">
        <v>192</v>
      </c>
      <c r="AH7">
        <v>198</v>
      </c>
      <c r="AI7">
        <v>204</v>
      </c>
      <c r="AJ7">
        <v>210</v>
      </c>
      <c r="AK7">
        <v>216</v>
      </c>
      <c r="AL7">
        <v>222</v>
      </c>
      <c r="AM7">
        <v>228</v>
      </c>
      <c r="AN7">
        <v>234</v>
      </c>
      <c r="AO7">
        <v>240</v>
      </c>
      <c r="AP7">
        <v>246</v>
      </c>
      <c r="AQ7">
        <v>252</v>
      </c>
      <c r="AR7">
        <v>258</v>
      </c>
      <c r="AS7">
        <v>264</v>
      </c>
      <c r="AT7">
        <v>270</v>
      </c>
      <c r="AU7">
        <v>276</v>
      </c>
      <c r="AV7">
        <v>282</v>
      </c>
      <c r="AW7">
        <v>288</v>
      </c>
      <c r="AX7">
        <v>294</v>
      </c>
      <c r="AY7">
        <f>AX7+6</f>
        <v>300</v>
      </c>
      <c r="AZ7">
        <f t="shared" ref="AZ7:BU7" si="3">AY7+6</f>
        <v>306</v>
      </c>
      <c r="BA7">
        <f t="shared" si="3"/>
        <v>312</v>
      </c>
      <c r="BB7">
        <f t="shared" si="3"/>
        <v>318</v>
      </c>
      <c r="BC7">
        <f t="shared" si="3"/>
        <v>324</v>
      </c>
      <c r="BD7">
        <f t="shared" si="3"/>
        <v>330</v>
      </c>
      <c r="BE7">
        <f t="shared" si="3"/>
        <v>336</v>
      </c>
      <c r="BF7">
        <f t="shared" si="3"/>
        <v>342</v>
      </c>
      <c r="BG7">
        <f t="shared" si="3"/>
        <v>348</v>
      </c>
      <c r="BH7">
        <f t="shared" si="3"/>
        <v>354</v>
      </c>
      <c r="BI7">
        <f t="shared" si="3"/>
        <v>360</v>
      </c>
      <c r="BJ7">
        <f t="shared" si="3"/>
        <v>366</v>
      </c>
      <c r="BK7">
        <f t="shared" si="3"/>
        <v>372</v>
      </c>
      <c r="BL7">
        <f t="shared" si="3"/>
        <v>378</v>
      </c>
      <c r="BM7">
        <f t="shared" si="3"/>
        <v>384</v>
      </c>
      <c r="BN7">
        <f t="shared" si="3"/>
        <v>390</v>
      </c>
      <c r="BO7">
        <f t="shared" si="3"/>
        <v>396</v>
      </c>
      <c r="BP7">
        <f t="shared" si="3"/>
        <v>402</v>
      </c>
      <c r="BQ7">
        <f t="shared" si="3"/>
        <v>408</v>
      </c>
      <c r="BR7">
        <f t="shared" si="3"/>
        <v>414</v>
      </c>
      <c r="BS7">
        <f t="shared" si="3"/>
        <v>420</v>
      </c>
      <c r="BT7">
        <f t="shared" si="3"/>
        <v>426</v>
      </c>
      <c r="BU7">
        <f t="shared" si="3"/>
        <v>432</v>
      </c>
      <c r="BV7">
        <f>BU7+3</f>
        <v>435</v>
      </c>
      <c r="BW7">
        <f t="shared" ref="BW7:CV7" si="4">BV7+3</f>
        <v>438</v>
      </c>
      <c r="BX7">
        <f t="shared" si="4"/>
        <v>441</v>
      </c>
      <c r="BY7">
        <f t="shared" si="4"/>
        <v>444</v>
      </c>
      <c r="BZ7">
        <f t="shared" si="4"/>
        <v>447</v>
      </c>
      <c r="CA7">
        <f t="shared" si="4"/>
        <v>450</v>
      </c>
      <c r="CB7">
        <f t="shared" si="4"/>
        <v>453</v>
      </c>
      <c r="CC7">
        <f t="shared" si="4"/>
        <v>456</v>
      </c>
      <c r="CD7">
        <f t="shared" si="4"/>
        <v>459</v>
      </c>
      <c r="CE7">
        <f t="shared" si="4"/>
        <v>462</v>
      </c>
      <c r="CF7">
        <f t="shared" si="4"/>
        <v>465</v>
      </c>
      <c r="CG7">
        <f t="shared" si="4"/>
        <v>468</v>
      </c>
      <c r="CH7">
        <f t="shared" si="4"/>
        <v>471</v>
      </c>
      <c r="CI7">
        <f t="shared" si="4"/>
        <v>474</v>
      </c>
      <c r="CJ7">
        <f t="shared" si="4"/>
        <v>477</v>
      </c>
      <c r="CK7">
        <f t="shared" si="4"/>
        <v>480</v>
      </c>
      <c r="CL7">
        <f t="shared" si="4"/>
        <v>483</v>
      </c>
      <c r="CM7">
        <f t="shared" si="4"/>
        <v>486</v>
      </c>
      <c r="CN7">
        <f t="shared" si="4"/>
        <v>489</v>
      </c>
      <c r="CO7">
        <f t="shared" si="4"/>
        <v>492</v>
      </c>
      <c r="CP7">
        <f t="shared" si="4"/>
        <v>495</v>
      </c>
      <c r="CQ7">
        <f t="shared" si="4"/>
        <v>498</v>
      </c>
      <c r="CR7">
        <f t="shared" si="4"/>
        <v>501</v>
      </c>
      <c r="CS7">
        <f t="shared" si="4"/>
        <v>504</v>
      </c>
      <c r="CT7">
        <f t="shared" si="4"/>
        <v>507</v>
      </c>
      <c r="CU7">
        <f t="shared" si="4"/>
        <v>510</v>
      </c>
      <c r="CV7">
        <f t="shared" si="4"/>
        <v>513</v>
      </c>
      <c r="CW7" t="s">
        <v>156</v>
      </c>
    </row>
    <row r="8" spans="1:102" x14ac:dyDescent="0.25">
      <c r="A8" t="str">
        <f t="shared" si="0"/>
        <v>characterLife,21.000000;42;63;84;105;126;147;168;189;210;231;252;273;294;315;336;357;378;399;420;441;462;483;504;525;546;567;588;609;630;651;672;693;714;735;756;777;798;819;840;861;882;903;924;945;966;987;1008;1029;1050;1071;1092;1113;1134;1155;1176;1197;1218;1239;1260;1281;1302;1323;1344;1365;1386;1407;1428;1449;1470;1491;1512;1522.5;1533;1543.5;1554;1564.5;1575;1585.5;1596;1606.5;1617;1627.5;1638;1648.5;1659;1669.5;1680;1690.5;1701;1711.5;1722;1732.5;1743;1753.5;1764;1774.5;1785;1795.5;1806,</v>
      </c>
      <c r="B8" t="s">
        <v>169</v>
      </c>
      <c r="C8">
        <v>42</v>
      </c>
      <c r="D8">
        <v>63</v>
      </c>
      <c r="E8">
        <v>84</v>
      </c>
      <c r="F8">
        <v>105</v>
      </c>
      <c r="G8">
        <v>126</v>
      </c>
      <c r="H8">
        <v>147</v>
      </c>
      <c r="I8">
        <v>168</v>
      </c>
      <c r="J8">
        <v>189</v>
      </c>
      <c r="K8">
        <v>210</v>
      </c>
      <c r="L8">
        <v>231</v>
      </c>
      <c r="M8">
        <v>252</v>
      </c>
      <c r="N8">
        <v>273</v>
      </c>
      <c r="O8">
        <v>294</v>
      </c>
      <c r="P8">
        <v>315</v>
      </c>
      <c r="Q8">
        <v>336</v>
      </c>
      <c r="R8">
        <v>357</v>
      </c>
      <c r="S8">
        <v>378</v>
      </c>
      <c r="T8">
        <v>399</v>
      </c>
      <c r="U8">
        <v>420</v>
      </c>
      <c r="V8">
        <v>441</v>
      </c>
      <c r="W8">
        <v>462</v>
      </c>
      <c r="X8">
        <v>483</v>
      </c>
      <c r="Y8">
        <v>504</v>
      </c>
      <c r="Z8">
        <v>525</v>
      </c>
      <c r="AA8">
        <v>546</v>
      </c>
      <c r="AB8">
        <v>567</v>
      </c>
      <c r="AC8">
        <v>588</v>
      </c>
      <c r="AD8">
        <v>609</v>
      </c>
      <c r="AE8">
        <v>630</v>
      </c>
      <c r="AF8">
        <v>651</v>
      </c>
      <c r="AG8">
        <v>672</v>
      </c>
      <c r="AH8">
        <v>693</v>
      </c>
      <c r="AI8">
        <v>714</v>
      </c>
      <c r="AJ8">
        <v>735</v>
      </c>
      <c r="AK8">
        <v>756</v>
      </c>
      <c r="AL8">
        <v>777</v>
      </c>
      <c r="AM8">
        <v>798</v>
      </c>
      <c r="AN8">
        <v>819</v>
      </c>
      <c r="AO8">
        <v>840</v>
      </c>
      <c r="AP8">
        <v>861</v>
      </c>
      <c r="AQ8">
        <v>882</v>
      </c>
      <c r="AR8">
        <v>903</v>
      </c>
      <c r="AS8">
        <v>924</v>
      </c>
      <c r="AT8">
        <v>945</v>
      </c>
      <c r="AU8">
        <v>966</v>
      </c>
      <c r="AV8">
        <v>987</v>
      </c>
      <c r="AW8">
        <v>1008</v>
      </c>
      <c r="AX8">
        <v>1029</v>
      </c>
      <c r="AY8">
        <f>AX8+21</f>
        <v>1050</v>
      </c>
      <c r="AZ8">
        <f t="shared" ref="AZ8:BU8" si="5">AY8+21</f>
        <v>1071</v>
      </c>
      <c r="BA8">
        <f t="shared" si="5"/>
        <v>1092</v>
      </c>
      <c r="BB8">
        <f t="shared" si="5"/>
        <v>1113</v>
      </c>
      <c r="BC8">
        <f t="shared" si="5"/>
        <v>1134</v>
      </c>
      <c r="BD8">
        <f t="shared" si="5"/>
        <v>1155</v>
      </c>
      <c r="BE8">
        <f t="shared" si="5"/>
        <v>1176</v>
      </c>
      <c r="BF8">
        <f t="shared" si="5"/>
        <v>1197</v>
      </c>
      <c r="BG8">
        <f t="shared" si="5"/>
        <v>1218</v>
      </c>
      <c r="BH8">
        <f t="shared" si="5"/>
        <v>1239</v>
      </c>
      <c r="BI8">
        <f t="shared" si="5"/>
        <v>1260</v>
      </c>
      <c r="BJ8">
        <f t="shared" si="5"/>
        <v>1281</v>
      </c>
      <c r="BK8">
        <f t="shared" si="5"/>
        <v>1302</v>
      </c>
      <c r="BL8">
        <f t="shared" si="5"/>
        <v>1323</v>
      </c>
      <c r="BM8">
        <f t="shared" si="5"/>
        <v>1344</v>
      </c>
      <c r="BN8">
        <f t="shared" si="5"/>
        <v>1365</v>
      </c>
      <c r="BO8">
        <f t="shared" si="5"/>
        <v>1386</v>
      </c>
      <c r="BP8">
        <f t="shared" si="5"/>
        <v>1407</v>
      </c>
      <c r="BQ8">
        <f t="shared" si="5"/>
        <v>1428</v>
      </c>
      <c r="BR8">
        <f t="shared" si="5"/>
        <v>1449</v>
      </c>
      <c r="BS8">
        <f t="shared" si="5"/>
        <v>1470</v>
      </c>
      <c r="BT8">
        <f t="shared" si="5"/>
        <v>1491</v>
      </c>
      <c r="BU8">
        <f t="shared" si="5"/>
        <v>1512</v>
      </c>
      <c r="BV8">
        <f>BU8+10.5</f>
        <v>1522.5</v>
      </c>
      <c r="BW8">
        <f t="shared" ref="BW8:CV8" si="6">BV8+10.5</f>
        <v>1533</v>
      </c>
      <c r="BX8">
        <f t="shared" si="6"/>
        <v>1543.5</v>
      </c>
      <c r="BY8">
        <f t="shared" si="6"/>
        <v>1554</v>
      </c>
      <c r="BZ8">
        <f t="shared" si="6"/>
        <v>1564.5</v>
      </c>
      <c r="CA8">
        <f t="shared" si="6"/>
        <v>1575</v>
      </c>
      <c r="CB8">
        <f t="shared" si="6"/>
        <v>1585.5</v>
      </c>
      <c r="CC8">
        <f t="shared" si="6"/>
        <v>1596</v>
      </c>
      <c r="CD8">
        <f t="shared" si="6"/>
        <v>1606.5</v>
      </c>
      <c r="CE8">
        <f t="shared" si="6"/>
        <v>1617</v>
      </c>
      <c r="CF8">
        <f t="shared" si="6"/>
        <v>1627.5</v>
      </c>
      <c r="CG8">
        <f t="shared" si="6"/>
        <v>1638</v>
      </c>
      <c r="CH8">
        <f t="shared" si="6"/>
        <v>1648.5</v>
      </c>
      <c r="CI8">
        <f t="shared" si="6"/>
        <v>1659</v>
      </c>
      <c r="CJ8">
        <f t="shared" si="6"/>
        <v>1669.5</v>
      </c>
      <c r="CK8">
        <f t="shared" si="6"/>
        <v>1680</v>
      </c>
      <c r="CL8">
        <f t="shared" si="6"/>
        <v>1690.5</v>
      </c>
      <c r="CM8">
        <f t="shared" si="6"/>
        <v>1701</v>
      </c>
      <c r="CN8">
        <f t="shared" si="6"/>
        <v>1711.5</v>
      </c>
      <c r="CO8">
        <f t="shared" si="6"/>
        <v>1722</v>
      </c>
      <c r="CP8">
        <f t="shared" si="6"/>
        <v>1732.5</v>
      </c>
      <c r="CQ8">
        <f t="shared" si="6"/>
        <v>1743</v>
      </c>
      <c r="CR8">
        <f t="shared" si="6"/>
        <v>1753.5</v>
      </c>
      <c r="CS8">
        <f t="shared" si="6"/>
        <v>1764</v>
      </c>
      <c r="CT8">
        <f t="shared" si="6"/>
        <v>1774.5</v>
      </c>
      <c r="CU8">
        <f t="shared" si="6"/>
        <v>1785</v>
      </c>
      <c r="CV8">
        <f t="shared" si="6"/>
        <v>1795.5</v>
      </c>
      <c r="CW8" t="s">
        <v>173</v>
      </c>
    </row>
    <row r="9" spans="1:102" x14ac:dyDescent="0.25">
      <c r="A9" t="str">
        <f t="shared" si="0"/>
        <v>characterMana,30.000000;60;90;120;150;180;210;240;270;300;330;360;390;420;450;480;510;540;570;600;630;660;690;720;750;780;810;840;870;900;930;960;990;1020;1050;1080;1110;1140;1170;1200;1230;1260;1290;1320;1350;1380;1410;1440;1470;1500;1530;1560;1590;1620;1650;1680;1710;1740;1770;1800;1830;1860;1890;1920;1950;1980;2010;2040;2070;2100;2130;2160;2175;2190;2205;2220;2235;2250;2265;2280;2295;2310;2325;2340;2355;2370;2385;2400;2415;2430;2445;2460;2475;2490;2505;2520;2535;2550;2565;2580,</v>
      </c>
      <c r="B9" t="s">
        <v>170</v>
      </c>
      <c r="C9">
        <v>60</v>
      </c>
      <c r="D9">
        <v>90</v>
      </c>
      <c r="E9">
        <v>120</v>
      </c>
      <c r="F9">
        <v>150</v>
      </c>
      <c r="G9">
        <v>180</v>
      </c>
      <c r="H9">
        <v>210</v>
      </c>
      <c r="I9">
        <v>240</v>
      </c>
      <c r="J9">
        <v>270</v>
      </c>
      <c r="K9">
        <v>300</v>
      </c>
      <c r="L9">
        <v>330</v>
      </c>
      <c r="M9">
        <v>360</v>
      </c>
      <c r="N9">
        <v>390</v>
      </c>
      <c r="O9">
        <v>420</v>
      </c>
      <c r="P9">
        <v>450</v>
      </c>
      <c r="Q9">
        <v>480</v>
      </c>
      <c r="R9">
        <v>510</v>
      </c>
      <c r="S9">
        <v>540</v>
      </c>
      <c r="T9">
        <v>570</v>
      </c>
      <c r="U9">
        <v>600</v>
      </c>
      <c r="V9">
        <v>630</v>
      </c>
      <c r="W9">
        <v>660</v>
      </c>
      <c r="X9">
        <v>690</v>
      </c>
      <c r="Y9">
        <v>720</v>
      </c>
      <c r="Z9">
        <v>750</v>
      </c>
      <c r="AA9">
        <v>780</v>
      </c>
      <c r="AB9">
        <v>810</v>
      </c>
      <c r="AC9">
        <v>840</v>
      </c>
      <c r="AD9">
        <v>870</v>
      </c>
      <c r="AE9">
        <v>900</v>
      </c>
      <c r="AF9">
        <v>930</v>
      </c>
      <c r="AG9">
        <v>960</v>
      </c>
      <c r="AH9">
        <v>990</v>
      </c>
      <c r="AI9">
        <v>1020</v>
      </c>
      <c r="AJ9">
        <v>1050</v>
      </c>
      <c r="AK9">
        <v>1080</v>
      </c>
      <c r="AL9">
        <v>1110</v>
      </c>
      <c r="AM9">
        <v>1140</v>
      </c>
      <c r="AN9">
        <v>1170</v>
      </c>
      <c r="AO9">
        <v>1200</v>
      </c>
      <c r="AP9">
        <v>1230</v>
      </c>
      <c r="AQ9">
        <v>1260</v>
      </c>
      <c r="AR9">
        <v>1290</v>
      </c>
      <c r="AS9">
        <v>1320</v>
      </c>
      <c r="AT9">
        <v>1350</v>
      </c>
      <c r="AU9">
        <v>1380</v>
      </c>
      <c r="AV9">
        <v>1410</v>
      </c>
      <c r="AW9">
        <v>1440</v>
      </c>
      <c r="AX9">
        <v>1470</v>
      </c>
      <c r="AY9">
        <f>AX9+30</f>
        <v>1500</v>
      </c>
      <c r="AZ9">
        <f t="shared" ref="AZ9:BU9" si="7">AY9+30</f>
        <v>1530</v>
      </c>
      <c r="BA9">
        <f t="shared" si="7"/>
        <v>1560</v>
      </c>
      <c r="BB9">
        <f t="shared" si="7"/>
        <v>1590</v>
      </c>
      <c r="BC9">
        <f t="shared" si="7"/>
        <v>1620</v>
      </c>
      <c r="BD9">
        <f t="shared" si="7"/>
        <v>1650</v>
      </c>
      <c r="BE9">
        <f t="shared" si="7"/>
        <v>1680</v>
      </c>
      <c r="BF9">
        <f t="shared" si="7"/>
        <v>1710</v>
      </c>
      <c r="BG9">
        <f t="shared" si="7"/>
        <v>1740</v>
      </c>
      <c r="BH9">
        <f t="shared" si="7"/>
        <v>1770</v>
      </c>
      <c r="BI9">
        <f t="shared" si="7"/>
        <v>1800</v>
      </c>
      <c r="BJ9">
        <f t="shared" si="7"/>
        <v>1830</v>
      </c>
      <c r="BK9">
        <f t="shared" si="7"/>
        <v>1860</v>
      </c>
      <c r="BL9">
        <f t="shared" si="7"/>
        <v>1890</v>
      </c>
      <c r="BM9">
        <f t="shared" si="7"/>
        <v>1920</v>
      </c>
      <c r="BN9">
        <f t="shared" si="7"/>
        <v>1950</v>
      </c>
      <c r="BO9">
        <f t="shared" si="7"/>
        <v>1980</v>
      </c>
      <c r="BP9">
        <f t="shared" si="7"/>
        <v>2010</v>
      </c>
      <c r="BQ9">
        <f t="shared" si="7"/>
        <v>2040</v>
      </c>
      <c r="BR9">
        <f t="shared" si="7"/>
        <v>2070</v>
      </c>
      <c r="BS9">
        <f t="shared" si="7"/>
        <v>2100</v>
      </c>
      <c r="BT9">
        <f t="shared" si="7"/>
        <v>2130</v>
      </c>
      <c r="BU9">
        <f t="shared" si="7"/>
        <v>2160</v>
      </c>
      <c r="BV9">
        <f>BU9+15</f>
        <v>2175</v>
      </c>
      <c r="BW9">
        <f t="shared" ref="BW9:CV9" si="8">BV9+15</f>
        <v>2190</v>
      </c>
      <c r="BX9">
        <f t="shared" si="8"/>
        <v>2205</v>
      </c>
      <c r="BY9">
        <f t="shared" si="8"/>
        <v>2220</v>
      </c>
      <c r="BZ9">
        <f t="shared" si="8"/>
        <v>2235</v>
      </c>
      <c r="CA9">
        <f t="shared" si="8"/>
        <v>2250</v>
      </c>
      <c r="CB9">
        <f t="shared" si="8"/>
        <v>2265</v>
      </c>
      <c r="CC9">
        <f t="shared" si="8"/>
        <v>2280</v>
      </c>
      <c r="CD9">
        <f t="shared" si="8"/>
        <v>2295</v>
      </c>
      <c r="CE9">
        <f t="shared" si="8"/>
        <v>2310</v>
      </c>
      <c r="CF9">
        <f t="shared" si="8"/>
        <v>2325</v>
      </c>
      <c r="CG9">
        <f t="shared" si="8"/>
        <v>2340</v>
      </c>
      <c r="CH9">
        <f t="shared" si="8"/>
        <v>2355</v>
      </c>
      <c r="CI9">
        <f t="shared" si="8"/>
        <v>2370</v>
      </c>
      <c r="CJ9">
        <f t="shared" si="8"/>
        <v>2385</v>
      </c>
      <c r="CK9">
        <f t="shared" si="8"/>
        <v>2400</v>
      </c>
      <c r="CL9">
        <f t="shared" si="8"/>
        <v>2415</v>
      </c>
      <c r="CM9">
        <f t="shared" si="8"/>
        <v>2430</v>
      </c>
      <c r="CN9">
        <f t="shared" si="8"/>
        <v>2445</v>
      </c>
      <c r="CO9">
        <f t="shared" si="8"/>
        <v>2460</v>
      </c>
      <c r="CP9">
        <f t="shared" si="8"/>
        <v>2475</v>
      </c>
      <c r="CQ9">
        <f t="shared" si="8"/>
        <v>2490</v>
      </c>
      <c r="CR9">
        <f t="shared" si="8"/>
        <v>2505</v>
      </c>
      <c r="CS9">
        <f t="shared" si="8"/>
        <v>2520</v>
      </c>
      <c r="CT9">
        <f t="shared" si="8"/>
        <v>2535</v>
      </c>
      <c r="CU9">
        <f t="shared" si="8"/>
        <v>2550</v>
      </c>
      <c r="CV9">
        <f t="shared" si="8"/>
        <v>2565</v>
      </c>
      <c r="CW9" t="s">
        <v>174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56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155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8:AY27">
    <sortCondition ref="B18:B27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X14"/>
  <sheetViews>
    <sheetView workbookViewId="0">
      <selection activeCell="C12" sqref="C12"/>
    </sheetView>
  </sheetViews>
  <sheetFormatPr defaultRowHeight="15" x14ac:dyDescent="0.25"/>
  <cols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57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77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57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90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57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60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155</v>
      </c>
    </row>
    <row r="7" spans="1:102" x14ac:dyDescent="0.25">
      <c r="A7" t="str">
        <f t="shared" si="0"/>
        <v>characterIntelligence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7" t="s">
        <v>51</v>
      </c>
      <c r="C7">
        <v>6</v>
      </c>
      <c r="D7">
        <v>9</v>
      </c>
      <c r="E7">
        <v>12</v>
      </c>
      <c r="F7">
        <v>15</v>
      </c>
      <c r="G7">
        <v>18</v>
      </c>
      <c r="H7">
        <v>21</v>
      </c>
      <c r="I7">
        <v>24</v>
      </c>
      <c r="J7">
        <v>27</v>
      </c>
      <c r="K7">
        <v>30</v>
      </c>
      <c r="L7">
        <v>33</v>
      </c>
      <c r="M7">
        <v>36</v>
      </c>
      <c r="N7">
        <v>39</v>
      </c>
      <c r="O7">
        <v>42</v>
      </c>
      <c r="P7">
        <v>45</v>
      </c>
      <c r="Q7">
        <v>48</v>
      </c>
      <c r="R7">
        <v>51</v>
      </c>
      <c r="S7">
        <v>54</v>
      </c>
      <c r="T7">
        <v>57</v>
      </c>
      <c r="U7">
        <v>60</v>
      </c>
      <c r="V7">
        <v>63</v>
      </c>
      <c r="W7">
        <v>66</v>
      </c>
      <c r="X7">
        <v>69</v>
      </c>
      <c r="Y7">
        <v>72</v>
      </c>
      <c r="Z7">
        <v>75</v>
      </c>
      <c r="AA7">
        <v>78</v>
      </c>
      <c r="AB7">
        <v>81</v>
      </c>
      <c r="AC7">
        <v>84</v>
      </c>
      <c r="AD7">
        <v>87</v>
      </c>
      <c r="AE7">
        <v>90</v>
      </c>
      <c r="AF7">
        <v>93</v>
      </c>
      <c r="AG7">
        <v>96</v>
      </c>
      <c r="AH7">
        <v>99</v>
      </c>
      <c r="AI7">
        <v>102</v>
      </c>
      <c r="AJ7">
        <v>105</v>
      </c>
      <c r="AK7">
        <v>108</v>
      </c>
      <c r="AL7">
        <v>111</v>
      </c>
      <c r="AM7">
        <v>114</v>
      </c>
      <c r="AN7">
        <v>117</v>
      </c>
      <c r="AO7">
        <v>120</v>
      </c>
      <c r="AP7">
        <v>123</v>
      </c>
      <c r="AQ7">
        <v>126</v>
      </c>
      <c r="AR7">
        <v>129</v>
      </c>
      <c r="AS7">
        <v>132</v>
      </c>
      <c r="AT7">
        <v>135</v>
      </c>
      <c r="AU7">
        <v>138</v>
      </c>
      <c r="AV7">
        <v>141</v>
      </c>
      <c r="AW7">
        <v>144</v>
      </c>
      <c r="AX7">
        <v>147</v>
      </c>
      <c r="AY7">
        <f>AX7+3</f>
        <v>150</v>
      </c>
      <c r="AZ7">
        <f t="shared" ref="AZ7:BU7" si="3">AY7+3</f>
        <v>153</v>
      </c>
      <c r="BA7">
        <f t="shared" si="3"/>
        <v>156</v>
      </c>
      <c r="BB7">
        <f t="shared" si="3"/>
        <v>159</v>
      </c>
      <c r="BC7">
        <f t="shared" si="3"/>
        <v>162</v>
      </c>
      <c r="BD7">
        <f t="shared" si="3"/>
        <v>165</v>
      </c>
      <c r="BE7">
        <f t="shared" si="3"/>
        <v>168</v>
      </c>
      <c r="BF7">
        <f t="shared" si="3"/>
        <v>171</v>
      </c>
      <c r="BG7">
        <f t="shared" si="3"/>
        <v>174</v>
      </c>
      <c r="BH7">
        <f t="shared" si="3"/>
        <v>177</v>
      </c>
      <c r="BI7">
        <f t="shared" si="3"/>
        <v>180</v>
      </c>
      <c r="BJ7">
        <f t="shared" si="3"/>
        <v>183</v>
      </c>
      <c r="BK7">
        <f t="shared" si="3"/>
        <v>186</v>
      </c>
      <c r="BL7">
        <f t="shared" si="3"/>
        <v>189</v>
      </c>
      <c r="BM7">
        <f t="shared" si="3"/>
        <v>192</v>
      </c>
      <c r="BN7">
        <f t="shared" si="3"/>
        <v>195</v>
      </c>
      <c r="BO7">
        <f t="shared" si="3"/>
        <v>198</v>
      </c>
      <c r="BP7">
        <f t="shared" si="3"/>
        <v>201</v>
      </c>
      <c r="BQ7">
        <f t="shared" si="3"/>
        <v>204</v>
      </c>
      <c r="BR7">
        <f t="shared" si="3"/>
        <v>207</v>
      </c>
      <c r="BS7">
        <f t="shared" si="3"/>
        <v>210</v>
      </c>
      <c r="BT7">
        <f t="shared" si="3"/>
        <v>213</v>
      </c>
      <c r="BU7">
        <f t="shared" si="3"/>
        <v>216</v>
      </c>
      <c r="BV7">
        <f>BU7+1.5</f>
        <v>217.5</v>
      </c>
      <c r="BW7">
        <f t="shared" ref="BW7:CV7" si="4">BV7+1.5</f>
        <v>219</v>
      </c>
      <c r="BX7">
        <f t="shared" si="4"/>
        <v>220.5</v>
      </c>
      <c r="BY7">
        <f t="shared" si="4"/>
        <v>222</v>
      </c>
      <c r="BZ7">
        <f t="shared" si="4"/>
        <v>223.5</v>
      </c>
      <c r="CA7">
        <f t="shared" si="4"/>
        <v>225</v>
      </c>
      <c r="CB7">
        <f t="shared" si="4"/>
        <v>226.5</v>
      </c>
      <c r="CC7">
        <f t="shared" si="4"/>
        <v>228</v>
      </c>
      <c r="CD7">
        <f t="shared" si="4"/>
        <v>229.5</v>
      </c>
      <c r="CE7">
        <f t="shared" si="4"/>
        <v>231</v>
      </c>
      <c r="CF7">
        <f t="shared" si="4"/>
        <v>232.5</v>
      </c>
      <c r="CG7">
        <f t="shared" si="4"/>
        <v>234</v>
      </c>
      <c r="CH7">
        <f t="shared" si="4"/>
        <v>235.5</v>
      </c>
      <c r="CI7">
        <f t="shared" si="4"/>
        <v>237</v>
      </c>
      <c r="CJ7">
        <f t="shared" si="4"/>
        <v>238.5</v>
      </c>
      <c r="CK7">
        <f t="shared" si="4"/>
        <v>240</v>
      </c>
      <c r="CL7">
        <f t="shared" si="4"/>
        <v>241.5</v>
      </c>
      <c r="CM7">
        <f t="shared" si="4"/>
        <v>243</v>
      </c>
      <c r="CN7">
        <f t="shared" si="4"/>
        <v>244.5</v>
      </c>
      <c r="CO7">
        <f t="shared" si="4"/>
        <v>246</v>
      </c>
      <c r="CP7">
        <f t="shared" si="4"/>
        <v>247.5</v>
      </c>
      <c r="CQ7">
        <f t="shared" si="4"/>
        <v>249</v>
      </c>
      <c r="CR7">
        <f t="shared" si="4"/>
        <v>250.5</v>
      </c>
      <c r="CS7">
        <f t="shared" si="4"/>
        <v>252</v>
      </c>
      <c r="CT7">
        <f t="shared" si="4"/>
        <v>253.5</v>
      </c>
      <c r="CU7">
        <f t="shared" si="4"/>
        <v>255</v>
      </c>
      <c r="CV7">
        <f t="shared" si="4"/>
        <v>256.5</v>
      </c>
      <c r="CW7" t="s">
        <v>155</v>
      </c>
    </row>
    <row r="8" spans="1:102" x14ac:dyDescent="0.25">
      <c r="A8" t="str">
        <f t="shared" si="0"/>
        <v>characterLife,35.000000;70;105;140;175;210;245;280;315;350;385;420;455;490;525;560;595;630;665;700;735;770;805;840;875;910;945;980;1015;1050;1085;1120;1155;1190;1225;1260;1295;1330;1365;1400;1435;1470;1505;1540;1575;1610;1645;1680;1715;1750;1785;1820;1855;1890;1925;1960;1995;2030;2065;2100;2135;2170;2205;2240;2275;2310;2345;2380;2415;2450;2485;2520;2537.5;2555;2572.5;2590;2607.5;2625;2642.5;2660;2677.5;2695;2712.5;2730;2747.5;2765;2782.5;2800;2817.5;2835;2852.5;2870;2887.5;2905;2922.5;2940;2957.5;2975;2992.5;3010,</v>
      </c>
      <c r="B8" t="s">
        <v>166</v>
      </c>
      <c r="C8">
        <v>70</v>
      </c>
      <c r="D8">
        <v>105</v>
      </c>
      <c r="E8">
        <v>140</v>
      </c>
      <c r="F8">
        <v>175</v>
      </c>
      <c r="G8">
        <v>210</v>
      </c>
      <c r="H8">
        <v>245</v>
      </c>
      <c r="I8">
        <v>280</v>
      </c>
      <c r="J8">
        <v>315</v>
      </c>
      <c r="K8">
        <v>350</v>
      </c>
      <c r="L8">
        <v>385</v>
      </c>
      <c r="M8">
        <v>420</v>
      </c>
      <c r="N8">
        <v>455</v>
      </c>
      <c r="O8">
        <v>490</v>
      </c>
      <c r="P8">
        <v>525</v>
      </c>
      <c r="Q8">
        <v>560</v>
      </c>
      <c r="R8">
        <v>595</v>
      </c>
      <c r="S8">
        <v>630</v>
      </c>
      <c r="T8">
        <v>665</v>
      </c>
      <c r="U8">
        <v>700</v>
      </c>
      <c r="V8">
        <v>735</v>
      </c>
      <c r="W8">
        <v>770</v>
      </c>
      <c r="X8">
        <v>805</v>
      </c>
      <c r="Y8">
        <v>840</v>
      </c>
      <c r="Z8">
        <v>875</v>
      </c>
      <c r="AA8">
        <v>910</v>
      </c>
      <c r="AB8">
        <v>945</v>
      </c>
      <c r="AC8">
        <v>980</v>
      </c>
      <c r="AD8">
        <v>1015</v>
      </c>
      <c r="AE8">
        <v>1050</v>
      </c>
      <c r="AF8">
        <v>1085</v>
      </c>
      <c r="AG8">
        <v>1120</v>
      </c>
      <c r="AH8">
        <v>1155</v>
      </c>
      <c r="AI8">
        <v>1190</v>
      </c>
      <c r="AJ8">
        <v>1225</v>
      </c>
      <c r="AK8">
        <v>1260</v>
      </c>
      <c r="AL8">
        <v>1295</v>
      </c>
      <c r="AM8">
        <v>1330</v>
      </c>
      <c r="AN8">
        <v>1365</v>
      </c>
      <c r="AO8">
        <v>1400</v>
      </c>
      <c r="AP8">
        <v>1435</v>
      </c>
      <c r="AQ8">
        <v>1470</v>
      </c>
      <c r="AR8">
        <v>1505</v>
      </c>
      <c r="AS8">
        <v>1540</v>
      </c>
      <c r="AT8">
        <v>1575</v>
      </c>
      <c r="AU8">
        <v>1610</v>
      </c>
      <c r="AV8">
        <v>1645</v>
      </c>
      <c r="AW8">
        <v>1680</v>
      </c>
      <c r="AX8">
        <v>1715</v>
      </c>
      <c r="AY8">
        <f>AX8+35</f>
        <v>1750</v>
      </c>
      <c r="AZ8">
        <f t="shared" ref="AZ8:BU8" si="5">AY8+35</f>
        <v>1785</v>
      </c>
      <c r="BA8">
        <f t="shared" si="5"/>
        <v>1820</v>
      </c>
      <c r="BB8">
        <f t="shared" si="5"/>
        <v>1855</v>
      </c>
      <c r="BC8">
        <f t="shared" si="5"/>
        <v>1890</v>
      </c>
      <c r="BD8">
        <f t="shared" si="5"/>
        <v>1925</v>
      </c>
      <c r="BE8">
        <f t="shared" si="5"/>
        <v>1960</v>
      </c>
      <c r="BF8">
        <f t="shared" si="5"/>
        <v>1995</v>
      </c>
      <c r="BG8">
        <f t="shared" si="5"/>
        <v>2030</v>
      </c>
      <c r="BH8">
        <f t="shared" si="5"/>
        <v>2065</v>
      </c>
      <c r="BI8">
        <f t="shared" si="5"/>
        <v>2100</v>
      </c>
      <c r="BJ8">
        <f t="shared" si="5"/>
        <v>2135</v>
      </c>
      <c r="BK8">
        <f t="shared" si="5"/>
        <v>2170</v>
      </c>
      <c r="BL8">
        <f t="shared" si="5"/>
        <v>2205</v>
      </c>
      <c r="BM8">
        <f t="shared" si="5"/>
        <v>2240</v>
      </c>
      <c r="BN8">
        <f t="shared" si="5"/>
        <v>2275</v>
      </c>
      <c r="BO8">
        <f t="shared" si="5"/>
        <v>2310</v>
      </c>
      <c r="BP8">
        <f t="shared" si="5"/>
        <v>2345</v>
      </c>
      <c r="BQ8">
        <f t="shared" si="5"/>
        <v>2380</v>
      </c>
      <c r="BR8">
        <f t="shared" si="5"/>
        <v>2415</v>
      </c>
      <c r="BS8">
        <f t="shared" si="5"/>
        <v>2450</v>
      </c>
      <c r="BT8">
        <f t="shared" si="5"/>
        <v>2485</v>
      </c>
      <c r="BU8">
        <f t="shared" si="5"/>
        <v>2520</v>
      </c>
      <c r="BV8">
        <f>BU8+17.5</f>
        <v>2537.5</v>
      </c>
      <c r="BW8">
        <f t="shared" ref="BW8:CV8" si="6">BV8+17.5</f>
        <v>2555</v>
      </c>
      <c r="BX8">
        <f t="shared" si="6"/>
        <v>2572.5</v>
      </c>
      <c r="BY8">
        <f t="shared" si="6"/>
        <v>2590</v>
      </c>
      <c r="BZ8">
        <f t="shared" si="6"/>
        <v>2607.5</v>
      </c>
      <c r="CA8">
        <f t="shared" si="6"/>
        <v>2625</v>
      </c>
      <c r="CB8">
        <f t="shared" si="6"/>
        <v>2642.5</v>
      </c>
      <c r="CC8">
        <f t="shared" si="6"/>
        <v>2660</v>
      </c>
      <c r="CD8">
        <f t="shared" si="6"/>
        <v>2677.5</v>
      </c>
      <c r="CE8">
        <f t="shared" si="6"/>
        <v>2695</v>
      </c>
      <c r="CF8">
        <f t="shared" si="6"/>
        <v>2712.5</v>
      </c>
      <c r="CG8">
        <f t="shared" si="6"/>
        <v>2730</v>
      </c>
      <c r="CH8">
        <f t="shared" si="6"/>
        <v>2747.5</v>
      </c>
      <c r="CI8">
        <f t="shared" si="6"/>
        <v>2765</v>
      </c>
      <c r="CJ8">
        <f t="shared" si="6"/>
        <v>2782.5</v>
      </c>
      <c r="CK8">
        <f t="shared" si="6"/>
        <v>2800</v>
      </c>
      <c r="CL8">
        <f t="shared" si="6"/>
        <v>2817.5</v>
      </c>
      <c r="CM8">
        <f t="shared" si="6"/>
        <v>2835</v>
      </c>
      <c r="CN8">
        <f t="shared" si="6"/>
        <v>2852.5</v>
      </c>
      <c r="CO8">
        <f t="shared" si="6"/>
        <v>2870</v>
      </c>
      <c r="CP8">
        <f t="shared" si="6"/>
        <v>2887.5</v>
      </c>
      <c r="CQ8">
        <f t="shared" si="6"/>
        <v>2905</v>
      </c>
      <c r="CR8">
        <f t="shared" si="6"/>
        <v>2922.5</v>
      </c>
      <c r="CS8">
        <f t="shared" si="6"/>
        <v>2940</v>
      </c>
      <c r="CT8">
        <f t="shared" si="6"/>
        <v>2957.5</v>
      </c>
      <c r="CU8">
        <f t="shared" si="6"/>
        <v>2975</v>
      </c>
      <c r="CV8">
        <f t="shared" si="6"/>
        <v>2992.5</v>
      </c>
      <c r="CW8" t="s">
        <v>167</v>
      </c>
    </row>
    <row r="9" spans="1:102" x14ac:dyDescent="0.25">
      <c r="A9" t="str">
        <f t="shared" si="0"/>
        <v>characterMana,16.000000;32;48;64;80;96;112;128;144;160;176;192;208;224;240;256;272;288;304;320;336;352;368;384;400;416;432;448;464;480;496;512;528;544;560;576;592;608;624;640;656;672;688;704;720;736;752;768;784;800;816;832;848;864;880;896;912;928;944;960;976;992;1008;1024;1040;1056;1072;1088;1104;1120;1136;1152;1160;1168;1176;1184;1192;1200;1208;1216;1224;1232;1240;1248;1256;1264;1272;1280;1288;1296;1304;1312;1320;1328;1336;1344;1352;1360;1368;1376,</v>
      </c>
      <c r="B9" t="s">
        <v>54</v>
      </c>
      <c r="C9">
        <v>32</v>
      </c>
      <c r="D9">
        <v>48</v>
      </c>
      <c r="E9">
        <v>64</v>
      </c>
      <c r="F9">
        <v>80</v>
      </c>
      <c r="G9">
        <v>96</v>
      </c>
      <c r="H9">
        <v>112</v>
      </c>
      <c r="I9">
        <v>128</v>
      </c>
      <c r="J9">
        <v>144</v>
      </c>
      <c r="K9">
        <v>160</v>
      </c>
      <c r="L9">
        <v>176</v>
      </c>
      <c r="M9">
        <v>192</v>
      </c>
      <c r="N9">
        <v>208</v>
      </c>
      <c r="O9">
        <v>224</v>
      </c>
      <c r="P9">
        <v>240</v>
      </c>
      <c r="Q9">
        <v>256</v>
      </c>
      <c r="R9">
        <v>272</v>
      </c>
      <c r="S9">
        <v>288</v>
      </c>
      <c r="T9">
        <v>304</v>
      </c>
      <c r="U9">
        <v>320</v>
      </c>
      <c r="V9">
        <v>336</v>
      </c>
      <c r="W9">
        <v>352</v>
      </c>
      <c r="X9">
        <v>368</v>
      </c>
      <c r="Y9">
        <v>384</v>
      </c>
      <c r="Z9">
        <v>400</v>
      </c>
      <c r="AA9">
        <v>416</v>
      </c>
      <c r="AB9">
        <v>432</v>
      </c>
      <c r="AC9">
        <v>448</v>
      </c>
      <c r="AD9">
        <v>464</v>
      </c>
      <c r="AE9">
        <v>480</v>
      </c>
      <c r="AF9">
        <v>496</v>
      </c>
      <c r="AG9">
        <v>512</v>
      </c>
      <c r="AH9">
        <v>528</v>
      </c>
      <c r="AI9">
        <v>544</v>
      </c>
      <c r="AJ9">
        <v>560</v>
      </c>
      <c r="AK9">
        <v>576</v>
      </c>
      <c r="AL9">
        <v>592</v>
      </c>
      <c r="AM9">
        <v>608</v>
      </c>
      <c r="AN9">
        <v>624</v>
      </c>
      <c r="AO9">
        <v>640</v>
      </c>
      <c r="AP9">
        <v>656</v>
      </c>
      <c r="AQ9">
        <v>672</v>
      </c>
      <c r="AR9">
        <v>688</v>
      </c>
      <c r="AS9">
        <v>704</v>
      </c>
      <c r="AT9">
        <v>720</v>
      </c>
      <c r="AU9">
        <v>736</v>
      </c>
      <c r="AV9">
        <v>752</v>
      </c>
      <c r="AW9">
        <v>768</v>
      </c>
      <c r="AX9">
        <v>784</v>
      </c>
      <c r="AY9">
        <f>AX9+16</f>
        <v>800</v>
      </c>
      <c r="AZ9">
        <f t="shared" ref="AZ9:BU9" si="7">AY9+16</f>
        <v>816</v>
      </c>
      <c r="BA9">
        <f t="shared" si="7"/>
        <v>832</v>
      </c>
      <c r="BB9">
        <f t="shared" si="7"/>
        <v>848</v>
      </c>
      <c r="BC9">
        <f t="shared" si="7"/>
        <v>864</v>
      </c>
      <c r="BD9">
        <f t="shared" si="7"/>
        <v>880</v>
      </c>
      <c r="BE9">
        <f t="shared" si="7"/>
        <v>896</v>
      </c>
      <c r="BF9">
        <f t="shared" si="7"/>
        <v>912</v>
      </c>
      <c r="BG9">
        <f t="shared" si="7"/>
        <v>928</v>
      </c>
      <c r="BH9">
        <f t="shared" si="7"/>
        <v>944</v>
      </c>
      <c r="BI9">
        <f t="shared" si="7"/>
        <v>960</v>
      </c>
      <c r="BJ9">
        <f t="shared" si="7"/>
        <v>976</v>
      </c>
      <c r="BK9">
        <f t="shared" si="7"/>
        <v>992</v>
      </c>
      <c r="BL9">
        <f t="shared" si="7"/>
        <v>1008</v>
      </c>
      <c r="BM9">
        <f t="shared" si="7"/>
        <v>1024</v>
      </c>
      <c r="BN9">
        <f t="shared" si="7"/>
        <v>1040</v>
      </c>
      <c r="BO9">
        <f t="shared" si="7"/>
        <v>1056</v>
      </c>
      <c r="BP9">
        <f t="shared" si="7"/>
        <v>1072</v>
      </c>
      <c r="BQ9">
        <f t="shared" si="7"/>
        <v>1088</v>
      </c>
      <c r="BR9">
        <f t="shared" si="7"/>
        <v>1104</v>
      </c>
      <c r="BS9">
        <f t="shared" si="7"/>
        <v>1120</v>
      </c>
      <c r="BT9">
        <f t="shared" si="7"/>
        <v>1136</v>
      </c>
      <c r="BU9">
        <f t="shared" si="7"/>
        <v>1152</v>
      </c>
      <c r="BV9">
        <f>BU9+8</f>
        <v>1160</v>
      </c>
      <c r="BW9">
        <f t="shared" ref="BW9:CV9" si="8">BV9+8</f>
        <v>1168</v>
      </c>
      <c r="BX9">
        <f t="shared" si="8"/>
        <v>1176</v>
      </c>
      <c r="BY9">
        <f t="shared" si="8"/>
        <v>1184</v>
      </c>
      <c r="BZ9">
        <f t="shared" si="8"/>
        <v>1192</v>
      </c>
      <c r="CA9">
        <f t="shared" si="8"/>
        <v>1200</v>
      </c>
      <c r="CB9">
        <f t="shared" si="8"/>
        <v>1208</v>
      </c>
      <c r="CC9">
        <f t="shared" si="8"/>
        <v>1216</v>
      </c>
      <c r="CD9">
        <f t="shared" si="8"/>
        <v>1224</v>
      </c>
      <c r="CE9">
        <f t="shared" si="8"/>
        <v>1232</v>
      </c>
      <c r="CF9">
        <f t="shared" si="8"/>
        <v>1240</v>
      </c>
      <c r="CG9">
        <f t="shared" si="8"/>
        <v>1248</v>
      </c>
      <c r="CH9">
        <f t="shared" si="8"/>
        <v>1256</v>
      </c>
      <c r="CI9">
        <f t="shared" si="8"/>
        <v>1264</v>
      </c>
      <c r="CJ9">
        <f t="shared" si="8"/>
        <v>1272</v>
      </c>
      <c r="CK9">
        <f t="shared" si="8"/>
        <v>1280</v>
      </c>
      <c r="CL9">
        <f t="shared" si="8"/>
        <v>1288</v>
      </c>
      <c r="CM9">
        <f t="shared" si="8"/>
        <v>1296</v>
      </c>
      <c r="CN9">
        <f t="shared" si="8"/>
        <v>1304</v>
      </c>
      <c r="CO9">
        <f t="shared" si="8"/>
        <v>1312</v>
      </c>
      <c r="CP9">
        <f t="shared" si="8"/>
        <v>1320</v>
      </c>
      <c r="CQ9">
        <f t="shared" si="8"/>
        <v>1328</v>
      </c>
      <c r="CR9">
        <f t="shared" si="8"/>
        <v>1336</v>
      </c>
      <c r="CS9">
        <f t="shared" si="8"/>
        <v>1344</v>
      </c>
      <c r="CT9">
        <f t="shared" si="8"/>
        <v>1352</v>
      </c>
      <c r="CU9">
        <f t="shared" si="8"/>
        <v>1360</v>
      </c>
      <c r="CV9">
        <f t="shared" si="8"/>
        <v>1368</v>
      </c>
      <c r="CW9" t="s">
        <v>175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56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155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21:AY30">
    <sortCondition ref="B21:B3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V26"/>
  <sheetViews>
    <sheetView workbookViewId="0">
      <selection activeCell="A11" sqref="A11"/>
    </sheetView>
  </sheetViews>
  <sheetFormatPr defaultRowHeight="15" x14ac:dyDescent="0.25"/>
  <cols>
    <col min="1" max="1" width="52.42578125" bestFit="1" customWidth="1"/>
    <col min="2" max="55" width="5.5703125" bestFit="1" customWidth="1"/>
    <col min="56" max="56" width="12.42578125" bestFit="1" customWidth="1"/>
    <col min="57" max="99" width="9.5703125" bestFit="1" customWidth="1"/>
    <col min="100" max="100" width="12.28515625" bestFit="1" customWidth="1"/>
  </cols>
  <sheetData>
    <row r="1" spans="1:100" x14ac:dyDescent="0.25">
      <c r="A1" t="s">
        <v>115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118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2</v>
      </c>
      <c r="BA2">
        <v>3</v>
      </c>
      <c r="BB2">
        <v>4</v>
      </c>
      <c r="BC2">
        <v>5</v>
      </c>
      <c r="BD2">
        <v>6</v>
      </c>
      <c r="BE2">
        <v>7</v>
      </c>
      <c r="BF2">
        <v>8</v>
      </c>
      <c r="BG2">
        <v>9</v>
      </c>
      <c r="BH2">
        <v>10</v>
      </c>
      <c r="BI2">
        <v>11</v>
      </c>
      <c r="BJ2">
        <v>12</v>
      </c>
      <c r="BK2">
        <v>13</v>
      </c>
      <c r="BL2">
        <v>14</v>
      </c>
      <c r="BM2">
        <v>15</v>
      </c>
      <c r="BN2">
        <v>16</v>
      </c>
      <c r="BO2">
        <v>17</v>
      </c>
      <c r="BP2">
        <v>18</v>
      </c>
      <c r="BQ2">
        <v>18</v>
      </c>
      <c r="BR2">
        <v>19</v>
      </c>
      <c r="BS2">
        <v>19</v>
      </c>
      <c r="BT2">
        <v>20</v>
      </c>
      <c r="BU2">
        <f t="shared" ref="BU2:CU2" si="0">BT2+0.5</f>
        <v>20.5</v>
      </c>
      <c r="BV2">
        <f t="shared" si="0"/>
        <v>21</v>
      </c>
      <c r="BW2">
        <f t="shared" si="0"/>
        <v>21.5</v>
      </c>
      <c r="BX2">
        <f t="shared" si="0"/>
        <v>22</v>
      </c>
      <c r="BY2">
        <f t="shared" si="0"/>
        <v>22.5</v>
      </c>
      <c r="BZ2">
        <f t="shared" si="0"/>
        <v>23</v>
      </c>
      <c r="CA2">
        <f t="shared" si="0"/>
        <v>23.5</v>
      </c>
      <c r="CB2">
        <f t="shared" si="0"/>
        <v>24</v>
      </c>
      <c r="CC2">
        <f t="shared" si="0"/>
        <v>24.5</v>
      </c>
      <c r="CD2">
        <f t="shared" si="0"/>
        <v>25</v>
      </c>
      <c r="CE2">
        <f t="shared" si="0"/>
        <v>25.5</v>
      </c>
      <c r="CF2">
        <f t="shared" si="0"/>
        <v>26</v>
      </c>
      <c r="CG2">
        <f t="shared" si="0"/>
        <v>26.5</v>
      </c>
      <c r="CH2">
        <f t="shared" si="0"/>
        <v>27</v>
      </c>
      <c r="CI2">
        <f t="shared" si="0"/>
        <v>27.5</v>
      </c>
      <c r="CJ2">
        <f t="shared" si="0"/>
        <v>28</v>
      </c>
      <c r="CK2">
        <f t="shared" si="0"/>
        <v>28.5</v>
      </c>
      <c r="CL2">
        <f t="shared" si="0"/>
        <v>29</v>
      </c>
      <c r="CM2">
        <f t="shared" si="0"/>
        <v>29.5</v>
      </c>
      <c r="CN2">
        <f t="shared" si="0"/>
        <v>30</v>
      </c>
      <c r="CO2">
        <f t="shared" si="0"/>
        <v>30.5</v>
      </c>
      <c r="CP2">
        <f t="shared" si="0"/>
        <v>31</v>
      </c>
      <c r="CQ2">
        <f t="shared" si="0"/>
        <v>31.5</v>
      </c>
      <c r="CR2">
        <f t="shared" si="0"/>
        <v>32</v>
      </c>
      <c r="CS2">
        <f t="shared" si="0"/>
        <v>32.5</v>
      </c>
      <c r="CT2">
        <f t="shared" si="0"/>
        <v>33</v>
      </c>
      <c r="CU2">
        <f t="shared" si="0"/>
        <v>33.5</v>
      </c>
      <c r="CV2" t="s">
        <v>77</v>
      </c>
    </row>
    <row r="3" spans="1:100" x14ac:dyDescent="0.25">
      <c r="A3" t="s">
        <v>145</v>
      </c>
      <c r="B3">
        <v>8</v>
      </c>
      <c r="C3">
        <v>12</v>
      </c>
      <c r="D3">
        <v>16</v>
      </c>
      <c r="E3">
        <v>20</v>
      </c>
      <c r="F3">
        <v>24</v>
      </c>
      <c r="G3">
        <v>28</v>
      </c>
      <c r="H3">
        <v>32</v>
      </c>
      <c r="I3">
        <v>36</v>
      </c>
      <c r="J3">
        <v>40</v>
      </c>
      <c r="K3">
        <v>44</v>
      </c>
      <c r="L3">
        <v>48</v>
      </c>
      <c r="M3">
        <v>52</v>
      </c>
      <c r="N3">
        <v>56</v>
      </c>
      <c r="O3">
        <v>60</v>
      </c>
      <c r="P3">
        <v>64</v>
      </c>
      <c r="Q3">
        <v>68</v>
      </c>
      <c r="R3">
        <v>72</v>
      </c>
      <c r="S3">
        <v>76</v>
      </c>
      <c r="T3">
        <v>80</v>
      </c>
      <c r="U3">
        <v>84</v>
      </c>
      <c r="V3">
        <v>88</v>
      </c>
      <c r="W3">
        <v>92</v>
      </c>
      <c r="X3">
        <v>96</v>
      </c>
      <c r="Y3">
        <v>100</v>
      </c>
      <c r="Z3">
        <v>104</v>
      </c>
      <c r="AA3">
        <v>108</v>
      </c>
      <c r="AB3">
        <v>112</v>
      </c>
      <c r="AC3">
        <v>116</v>
      </c>
      <c r="AD3">
        <v>120</v>
      </c>
      <c r="AE3">
        <v>124</v>
      </c>
      <c r="AF3">
        <v>128</v>
      </c>
      <c r="AG3">
        <v>132</v>
      </c>
      <c r="AH3">
        <v>136</v>
      </c>
      <c r="AI3">
        <v>140</v>
      </c>
      <c r="AJ3">
        <v>144</v>
      </c>
      <c r="AK3">
        <v>148</v>
      </c>
      <c r="AL3">
        <v>152</v>
      </c>
      <c r="AM3">
        <v>156</v>
      </c>
      <c r="AN3">
        <v>160</v>
      </c>
      <c r="AO3">
        <v>164</v>
      </c>
      <c r="AP3">
        <v>168</v>
      </c>
      <c r="AQ3">
        <v>172</v>
      </c>
      <c r="AR3">
        <v>176</v>
      </c>
      <c r="AS3">
        <v>180</v>
      </c>
      <c r="AT3">
        <v>184</v>
      </c>
      <c r="AU3">
        <v>188</v>
      </c>
      <c r="AV3">
        <v>192</v>
      </c>
      <c r="AW3">
        <v>196</v>
      </c>
      <c r="AX3">
        <v>200</v>
      </c>
      <c r="AY3">
        <v>204</v>
      </c>
      <c r="AZ3">
        <v>208</v>
      </c>
      <c r="BA3">
        <v>212</v>
      </c>
      <c r="BB3">
        <v>216</v>
      </c>
      <c r="BC3">
        <v>220</v>
      </c>
      <c r="BD3">
        <v>224</v>
      </c>
      <c r="BE3">
        <v>228</v>
      </c>
      <c r="BF3">
        <v>232</v>
      </c>
      <c r="BG3">
        <v>236</v>
      </c>
      <c r="BH3">
        <v>240</v>
      </c>
      <c r="BI3">
        <v>244</v>
      </c>
      <c r="BJ3">
        <v>248</v>
      </c>
      <c r="BK3">
        <v>252</v>
      </c>
      <c r="BL3">
        <v>256</v>
      </c>
      <c r="BM3">
        <v>260</v>
      </c>
      <c r="BN3">
        <v>264</v>
      </c>
      <c r="BO3">
        <v>268</v>
      </c>
      <c r="BP3">
        <v>272</v>
      </c>
      <c r="BQ3">
        <v>276</v>
      </c>
      <c r="BR3">
        <v>280</v>
      </c>
      <c r="BS3">
        <v>284</v>
      </c>
      <c r="BT3">
        <v>288</v>
      </c>
      <c r="BU3">
        <v>292</v>
      </c>
      <c r="BV3">
        <v>296</v>
      </c>
      <c r="BW3">
        <v>300</v>
      </c>
      <c r="BX3">
        <v>304</v>
      </c>
      <c r="BY3">
        <v>308</v>
      </c>
      <c r="BZ3">
        <v>312</v>
      </c>
      <c r="CA3">
        <v>316</v>
      </c>
      <c r="CB3">
        <v>320</v>
      </c>
      <c r="CC3">
        <v>324</v>
      </c>
      <c r="CD3">
        <v>328</v>
      </c>
      <c r="CE3">
        <v>332</v>
      </c>
      <c r="CF3">
        <v>336</v>
      </c>
      <c r="CG3">
        <v>340</v>
      </c>
      <c r="CH3">
        <v>344</v>
      </c>
      <c r="CI3">
        <v>348</v>
      </c>
      <c r="CJ3">
        <v>352</v>
      </c>
      <c r="CK3">
        <v>356</v>
      </c>
      <c r="CL3">
        <v>360</v>
      </c>
      <c r="CM3">
        <v>364</v>
      </c>
      <c r="CN3">
        <v>368</v>
      </c>
      <c r="CO3">
        <v>372</v>
      </c>
      <c r="CP3">
        <v>376</v>
      </c>
      <c r="CQ3">
        <v>380</v>
      </c>
      <c r="CR3">
        <v>384</v>
      </c>
      <c r="CS3">
        <v>388</v>
      </c>
      <c r="CT3">
        <v>392</v>
      </c>
      <c r="CU3">
        <v>396</v>
      </c>
      <c r="CV3" t="s">
        <v>114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 t="shared" ref="BU4:CU4" si="1">BT4+0.25</f>
        <v>10.25</v>
      </c>
      <c r="BV4">
        <f t="shared" si="1"/>
        <v>10.5</v>
      </c>
      <c r="BW4">
        <f t="shared" si="1"/>
        <v>10.75</v>
      </c>
      <c r="BX4">
        <f t="shared" si="1"/>
        <v>11</v>
      </c>
      <c r="BY4">
        <f t="shared" si="1"/>
        <v>11.25</v>
      </c>
      <c r="BZ4">
        <f t="shared" si="1"/>
        <v>11.5</v>
      </c>
      <c r="CA4">
        <f t="shared" si="1"/>
        <v>11.75</v>
      </c>
      <c r="CB4">
        <f t="shared" si="1"/>
        <v>12</v>
      </c>
      <c r="CC4">
        <f t="shared" si="1"/>
        <v>12.25</v>
      </c>
      <c r="CD4">
        <f t="shared" si="1"/>
        <v>12.5</v>
      </c>
      <c r="CE4">
        <f t="shared" si="1"/>
        <v>12.75</v>
      </c>
      <c r="CF4">
        <f t="shared" si="1"/>
        <v>13</v>
      </c>
      <c r="CG4">
        <f t="shared" si="1"/>
        <v>13.25</v>
      </c>
      <c r="CH4">
        <f t="shared" si="1"/>
        <v>13.5</v>
      </c>
      <c r="CI4">
        <f t="shared" si="1"/>
        <v>13.75</v>
      </c>
      <c r="CJ4">
        <f t="shared" si="1"/>
        <v>14</v>
      </c>
      <c r="CK4">
        <f t="shared" si="1"/>
        <v>14.25</v>
      </c>
      <c r="CL4">
        <f t="shared" si="1"/>
        <v>14.5</v>
      </c>
      <c r="CM4">
        <f t="shared" si="1"/>
        <v>14.75</v>
      </c>
      <c r="CN4">
        <f t="shared" si="1"/>
        <v>15</v>
      </c>
      <c r="CO4">
        <f t="shared" si="1"/>
        <v>15.25</v>
      </c>
      <c r="CP4">
        <f t="shared" si="1"/>
        <v>15.5</v>
      </c>
      <c r="CQ4">
        <f t="shared" si="1"/>
        <v>15.75</v>
      </c>
      <c r="CR4">
        <f t="shared" si="1"/>
        <v>16</v>
      </c>
      <c r="CS4">
        <f t="shared" si="1"/>
        <v>16.25</v>
      </c>
      <c r="CT4">
        <f t="shared" si="1"/>
        <v>16.5</v>
      </c>
      <c r="CU4">
        <f t="shared" si="1"/>
        <v>16.75</v>
      </c>
      <c r="CV4" t="s">
        <v>57</v>
      </c>
    </row>
    <row r="5" spans="1:100" x14ac:dyDescent="0.25">
      <c r="A5" t="s">
        <v>91</v>
      </c>
      <c r="B5">
        <v>36</v>
      </c>
      <c r="C5">
        <v>54</v>
      </c>
      <c r="D5">
        <v>72</v>
      </c>
      <c r="E5">
        <v>90</v>
      </c>
      <c r="F5">
        <v>108</v>
      </c>
      <c r="G5">
        <v>126</v>
      </c>
      <c r="H5">
        <v>144</v>
      </c>
      <c r="I5">
        <v>162</v>
      </c>
      <c r="J5">
        <v>180</v>
      </c>
      <c r="K5">
        <v>198</v>
      </c>
      <c r="L5">
        <v>216</v>
      </c>
      <c r="M5">
        <v>234</v>
      </c>
      <c r="N5">
        <v>252</v>
      </c>
      <c r="O5">
        <v>270</v>
      </c>
      <c r="P5">
        <v>288</v>
      </c>
      <c r="Q5">
        <v>306</v>
      </c>
      <c r="R5">
        <v>324</v>
      </c>
      <c r="S5">
        <v>342</v>
      </c>
      <c r="T5">
        <v>360</v>
      </c>
      <c r="U5">
        <v>378</v>
      </c>
      <c r="V5">
        <v>396</v>
      </c>
      <c r="W5">
        <v>414</v>
      </c>
      <c r="X5">
        <v>432</v>
      </c>
      <c r="Y5">
        <v>450</v>
      </c>
      <c r="Z5">
        <v>468</v>
      </c>
      <c r="AA5">
        <v>486</v>
      </c>
      <c r="AB5">
        <v>504</v>
      </c>
      <c r="AC5">
        <v>522</v>
      </c>
      <c r="AD5">
        <v>540</v>
      </c>
      <c r="AE5">
        <v>558</v>
      </c>
      <c r="AF5">
        <v>576</v>
      </c>
      <c r="AG5">
        <v>594</v>
      </c>
      <c r="AH5">
        <v>612</v>
      </c>
      <c r="AI5">
        <v>630</v>
      </c>
      <c r="AJ5">
        <v>648</v>
      </c>
      <c r="AK5">
        <v>666</v>
      </c>
      <c r="AL5">
        <v>684</v>
      </c>
      <c r="AM5">
        <v>702</v>
      </c>
      <c r="AN5">
        <v>720</v>
      </c>
      <c r="AO5">
        <v>738</v>
      </c>
      <c r="AP5">
        <v>756</v>
      </c>
      <c r="AQ5">
        <v>774</v>
      </c>
      <c r="AR5">
        <v>792</v>
      </c>
      <c r="AS5">
        <v>810</v>
      </c>
      <c r="AT5">
        <v>828</v>
      </c>
      <c r="AU5">
        <v>846</v>
      </c>
      <c r="AV5">
        <v>864</v>
      </c>
      <c r="AW5">
        <v>882</v>
      </c>
      <c r="AX5">
        <v>900</v>
      </c>
      <c r="AY5">
        <v>918</v>
      </c>
      <c r="AZ5">
        <v>936</v>
      </c>
      <c r="BA5">
        <v>954</v>
      </c>
      <c r="BB5">
        <v>972</v>
      </c>
      <c r="BC5">
        <v>990</v>
      </c>
      <c r="BD5">
        <v>1008</v>
      </c>
      <c r="BE5">
        <v>1026</v>
      </c>
      <c r="BF5">
        <v>1044</v>
      </c>
      <c r="BG5">
        <v>1062</v>
      </c>
      <c r="BH5">
        <v>1080</v>
      </c>
      <c r="BI5">
        <v>1098</v>
      </c>
      <c r="BJ5">
        <v>1116</v>
      </c>
      <c r="BK5">
        <v>1134</v>
      </c>
      <c r="BL5">
        <v>1152</v>
      </c>
      <c r="BM5">
        <v>1170</v>
      </c>
      <c r="BN5">
        <v>1188</v>
      </c>
      <c r="BO5">
        <v>1206</v>
      </c>
      <c r="BP5">
        <v>1224</v>
      </c>
      <c r="BQ5">
        <v>1242</v>
      </c>
      <c r="BR5">
        <v>1260</v>
      </c>
      <c r="BS5">
        <v>1278</v>
      </c>
      <c r="BT5">
        <v>1296</v>
      </c>
      <c r="BU5">
        <v>1314</v>
      </c>
      <c r="BV5">
        <v>1332</v>
      </c>
      <c r="BW5">
        <v>1350</v>
      </c>
      <c r="BX5">
        <v>1368</v>
      </c>
      <c r="BY5">
        <v>1386</v>
      </c>
      <c r="BZ5">
        <v>1404</v>
      </c>
      <c r="CA5">
        <v>1422</v>
      </c>
      <c r="CB5">
        <v>1440</v>
      </c>
      <c r="CC5">
        <v>1458</v>
      </c>
      <c r="CD5">
        <v>1476</v>
      </c>
      <c r="CE5">
        <v>1494</v>
      </c>
      <c r="CF5">
        <v>1512</v>
      </c>
      <c r="CG5">
        <v>1530</v>
      </c>
      <c r="CH5">
        <v>1548</v>
      </c>
      <c r="CI5">
        <v>1566</v>
      </c>
      <c r="CJ5">
        <v>1584</v>
      </c>
      <c r="CK5">
        <v>1602</v>
      </c>
      <c r="CL5">
        <v>1620</v>
      </c>
      <c r="CM5">
        <v>1638</v>
      </c>
      <c r="CN5">
        <v>1656</v>
      </c>
      <c r="CO5">
        <v>1674</v>
      </c>
      <c r="CP5">
        <v>1692</v>
      </c>
      <c r="CQ5">
        <v>1710</v>
      </c>
      <c r="CR5">
        <v>1728</v>
      </c>
      <c r="CS5">
        <v>1746</v>
      </c>
      <c r="CT5">
        <v>1764</v>
      </c>
      <c r="CU5">
        <v>1782</v>
      </c>
      <c r="CV5" t="s">
        <v>86</v>
      </c>
    </row>
    <row r="6" spans="1:100" x14ac:dyDescent="0.25">
      <c r="A6" t="s">
        <v>47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58</v>
      </c>
    </row>
    <row r="10" spans="1:100" x14ac:dyDescent="0.25">
      <c r="A10" t="s">
        <v>92</v>
      </c>
      <c r="B10">
        <v>40</v>
      </c>
      <c r="C10">
        <v>60</v>
      </c>
      <c r="D10">
        <v>80</v>
      </c>
      <c r="E10">
        <v>100</v>
      </c>
      <c r="F10">
        <v>120</v>
      </c>
      <c r="G10">
        <v>140</v>
      </c>
      <c r="H10">
        <v>160</v>
      </c>
      <c r="I10">
        <v>180</v>
      </c>
      <c r="J10">
        <v>200</v>
      </c>
      <c r="K10">
        <v>220</v>
      </c>
      <c r="L10">
        <v>240</v>
      </c>
      <c r="M10">
        <v>260</v>
      </c>
      <c r="N10">
        <v>280</v>
      </c>
      <c r="O10">
        <v>300</v>
      </c>
      <c r="P10">
        <v>320</v>
      </c>
      <c r="Q10">
        <v>340</v>
      </c>
      <c r="R10">
        <v>360</v>
      </c>
      <c r="S10">
        <v>380</v>
      </c>
      <c r="T10">
        <v>400</v>
      </c>
      <c r="U10">
        <v>420</v>
      </c>
      <c r="V10">
        <v>440</v>
      </c>
      <c r="W10">
        <v>460</v>
      </c>
      <c r="X10">
        <v>480</v>
      </c>
      <c r="Y10">
        <v>500</v>
      </c>
      <c r="Z10">
        <v>520</v>
      </c>
      <c r="AA10">
        <v>540</v>
      </c>
      <c r="AB10">
        <v>560</v>
      </c>
      <c r="AC10">
        <v>580</v>
      </c>
      <c r="AD10">
        <v>600</v>
      </c>
      <c r="AE10">
        <v>620</v>
      </c>
      <c r="AF10">
        <v>640</v>
      </c>
      <c r="AG10">
        <v>660</v>
      </c>
      <c r="AH10">
        <v>680</v>
      </c>
      <c r="AI10">
        <v>700</v>
      </c>
      <c r="AJ10">
        <v>720</v>
      </c>
      <c r="AK10">
        <v>740</v>
      </c>
      <c r="AL10">
        <v>760</v>
      </c>
      <c r="AM10">
        <v>780</v>
      </c>
      <c r="AN10">
        <v>800</v>
      </c>
      <c r="AO10">
        <v>840</v>
      </c>
      <c r="AP10">
        <v>880</v>
      </c>
      <c r="AQ10">
        <v>920</v>
      </c>
      <c r="AR10">
        <v>960</v>
      </c>
      <c r="AS10">
        <v>1000</v>
      </c>
      <c r="AT10">
        <v>1040</v>
      </c>
      <c r="AU10">
        <v>1080</v>
      </c>
      <c r="AV10">
        <v>1120</v>
      </c>
      <c r="AW10">
        <v>1160</v>
      </c>
      <c r="AX10">
        <v>1200</v>
      </c>
      <c r="AY10">
        <v>1240</v>
      </c>
      <c r="AZ10">
        <v>1280</v>
      </c>
      <c r="BA10">
        <v>1320</v>
      </c>
      <c r="BB10">
        <v>1360</v>
      </c>
      <c r="BC10">
        <v>1100</v>
      </c>
      <c r="BD10">
        <f>ROUNDUP(BD5*1.11,0)</f>
        <v>1119</v>
      </c>
      <c r="BE10">
        <f t="shared" ref="BE10:CU10" si="2">ROUNDUP(BE5*1.11,0)</f>
        <v>1139</v>
      </c>
      <c r="BF10">
        <f t="shared" si="2"/>
        <v>1159</v>
      </c>
      <c r="BG10">
        <f t="shared" si="2"/>
        <v>1179</v>
      </c>
      <c r="BH10">
        <f t="shared" si="2"/>
        <v>1199</v>
      </c>
      <c r="BI10">
        <f t="shared" si="2"/>
        <v>1219</v>
      </c>
      <c r="BJ10">
        <f t="shared" si="2"/>
        <v>1239</v>
      </c>
      <c r="BK10">
        <f t="shared" si="2"/>
        <v>1259</v>
      </c>
      <c r="BL10">
        <f t="shared" si="2"/>
        <v>1279</v>
      </c>
      <c r="BM10">
        <f t="shared" si="2"/>
        <v>1299</v>
      </c>
      <c r="BN10">
        <f t="shared" si="2"/>
        <v>1319</v>
      </c>
      <c r="BO10">
        <f t="shared" si="2"/>
        <v>1339</v>
      </c>
      <c r="BP10">
        <f t="shared" si="2"/>
        <v>1359</v>
      </c>
      <c r="BQ10">
        <f t="shared" si="2"/>
        <v>1379</v>
      </c>
      <c r="BR10">
        <f t="shared" si="2"/>
        <v>1399</v>
      </c>
      <c r="BS10">
        <f t="shared" si="2"/>
        <v>1419</v>
      </c>
      <c r="BT10">
        <f t="shared" si="2"/>
        <v>1439</v>
      </c>
      <c r="BU10">
        <f t="shared" si="2"/>
        <v>1459</v>
      </c>
      <c r="BV10">
        <f t="shared" si="2"/>
        <v>1479</v>
      </c>
      <c r="BW10">
        <f t="shared" si="2"/>
        <v>1499</v>
      </c>
      <c r="BX10">
        <f t="shared" si="2"/>
        <v>1519</v>
      </c>
      <c r="BY10">
        <f t="shared" si="2"/>
        <v>1539</v>
      </c>
      <c r="BZ10">
        <f t="shared" si="2"/>
        <v>1559</v>
      </c>
      <c r="CA10">
        <f t="shared" si="2"/>
        <v>1579</v>
      </c>
      <c r="CB10">
        <f t="shared" si="2"/>
        <v>1599</v>
      </c>
      <c r="CC10">
        <f t="shared" si="2"/>
        <v>1619</v>
      </c>
      <c r="CD10">
        <f t="shared" si="2"/>
        <v>1639</v>
      </c>
      <c r="CE10">
        <f t="shared" si="2"/>
        <v>1659</v>
      </c>
      <c r="CF10">
        <f t="shared" si="2"/>
        <v>1679</v>
      </c>
      <c r="CG10">
        <f t="shared" si="2"/>
        <v>1699</v>
      </c>
      <c r="CH10">
        <f t="shared" si="2"/>
        <v>1719</v>
      </c>
      <c r="CI10">
        <f t="shared" si="2"/>
        <v>1739</v>
      </c>
      <c r="CJ10">
        <f t="shared" si="2"/>
        <v>1759</v>
      </c>
      <c r="CK10">
        <f t="shared" si="2"/>
        <v>1779</v>
      </c>
      <c r="CL10">
        <f t="shared" si="2"/>
        <v>1799</v>
      </c>
      <c r="CM10">
        <f t="shared" si="2"/>
        <v>1819</v>
      </c>
      <c r="CN10">
        <f t="shared" si="2"/>
        <v>1839</v>
      </c>
      <c r="CO10">
        <f t="shared" si="2"/>
        <v>1859</v>
      </c>
      <c r="CP10">
        <f t="shared" si="2"/>
        <v>1879</v>
      </c>
      <c r="CQ10">
        <f t="shared" si="2"/>
        <v>1899</v>
      </c>
      <c r="CR10">
        <f t="shared" si="2"/>
        <v>1919</v>
      </c>
      <c r="CS10">
        <f t="shared" si="2"/>
        <v>1939</v>
      </c>
      <c r="CT10">
        <f t="shared" si="2"/>
        <v>1959</v>
      </c>
      <c r="CU10">
        <f t="shared" si="2"/>
        <v>1979</v>
      </c>
      <c r="CV10" t="s">
        <v>147</v>
      </c>
    </row>
    <row r="11" spans="1:100" x14ac:dyDescent="0.25">
      <c r="A11" t="s">
        <v>12</v>
      </c>
      <c r="B11" s="2">
        <f>B10/B5</f>
        <v>1.1111111111111112</v>
      </c>
      <c r="C11" s="2">
        <f t="shared" ref="C11:BN11" si="3">C10/C5</f>
        <v>1.1111111111111112</v>
      </c>
      <c r="D11" s="2">
        <f t="shared" si="3"/>
        <v>1.1111111111111112</v>
      </c>
      <c r="E11" s="2">
        <f t="shared" si="3"/>
        <v>1.1111111111111112</v>
      </c>
      <c r="F11" s="2">
        <f t="shared" si="3"/>
        <v>1.1111111111111112</v>
      </c>
      <c r="G11" s="2">
        <f t="shared" si="3"/>
        <v>1.1111111111111112</v>
      </c>
      <c r="H11" s="2">
        <f t="shared" si="3"/>
        <v>1.1111111111111112</v>
      </c>
      <c r="I11" s="2">
        <f t="shared" si="3"/>
        <v>1.1111111111111112</v>
      </c>
      <c r="J11" s="2">
        <f t="shared" si="3"/>
        <v>1.1111111111111112</v>
      </c>
      <c r="K11" s="2">
        <f t="shared" si="3"/>
        <v>1.1111111111111112</v>
      </c>
      <c r="L11" s="2">
        <f t="shared" si="3"/>
        <v>1.1111111111111112</v>
      </c>
      <c r="M11" s="2">
        <f t="shared" si="3"/>
        <v>1.1111111111111112</v>
      </c>
      <c r="N11" s="2">
        <f t="shared" si="3"/>
        <v>1.1111111111111112</v>
      </c>
      <c r="O11" s="2">
        <f t="shared" si="3"/>
        <v>1.1111111111111112</v>
      </c>
      <c r="P11" s="2">
        <f t="shared" si="3"/>
        <v>1.1111111111111112</v>
      </c>
      <c r="Q11" s="2">
        <f t="shared" si="3"/>
        <v>1.1111111111111112</v>
      </c>
      <c r="R11" s="2">
        <f t="shared" si="3"/>
        <v>1.1111111111111112</v>
      </c>
      <c r="S11" s="2">
        <f t="shared" si="3"/>
        <v>1.1111111111111112</v>
      </c>
      <c r="T11" s="2">
        <f t="shared" si="3"/>
        <v>1.1111111111111112</v>
      </c>
      <c r="U11" s="2">
        <f t="shared" si="3"/>
        <v>1.1111111111111112</v>
      </c>
      <c r="V11" s="2">
        <f t="shared" si="3"/>
        <v>1.1111111111111112</v>
      </c>
      <c r="W11" s="2">
        <f t="shared" si="3"/>
        <v>1.1111111111111112</v>
      </c>
      <c r="X11" s="2">
        <f t="shared" si="3"/>
        <v>1.1111111111111112</v>
      </c>
      <c r="Y11" s="2">
        <f t="shared" si="3"/>
        <v>1.1111111111111112</v>
      </c>
      <c r="Z11" s="2">
        <f t="shared" si="3"/>
        <v>1.1111111111111112</v>
      </c>
      <c r="AA11" s="2">
        <f t="shared" si="3"/>
        <v>1.1111111111111112</v>
      </c>
      <c r="AB11" s="2">
        <f t="shared" si="3"/>
        <v>1.1111111111111112</v>
      </c>
      <c r="AC11" s="2">
        <f t="shared" si="3"/>
        <v>1.1111111111111112</v>
      </c>
      <c r="AD11" s="2">
        <f t="shared" si="3"/>
        <v>1.1111111111111112</v>
      </c>
      <c r="AE11" s="2">
        <f t="shared" si="3"/>
        <v>1.1111111111111112</v>
      </c>
      <c r="AF11" s="2">
        <f t="shared" si="3"/>
        <v>1.1111111111111112</v>
      </c>
      <c r="AG11" s="2">
        <f t="shared" si="3"/>
        <v>1.1111111111111112</v>
      </c>
      <c r="AH11" s="2">
        <f t="shared" si="3"/>
        <v>1.1111111111111112</v>
      </c>
      <c r="AI11" s="2">
        <f t="shared" si="3"/>
        <v>1.1111111111111112</v>
      </c>
      <c r="AJ11" s="2">
        <f t="shared" si="3"/>
        <v>1.1111111111111112</v>
      </c>
      <c r="AK11" s="2">
        <f t="shared" si="3"/>
        <v>1.1111111111111112</v>
      </c>
      <c r="AL11" s="2">
        <f t="shared" si="3"/>
        <v>1.1111111111111112</v>
      </c>
      <c r="AM11" s="2">
        <f t="shared" si="3"/>
        <v>1.1111111111111112</v>
      </c>
      <c r="AN11" s="2">
        <f t="shared" si="3"/>
        <v>1.1111111111111112</v>
      </c>
      <c r="AO11" s="2">
        <f t="shared" si="3"/>
        <v>1.1382113821138211</v>
      </c>
      <c r="AP11" s="2">
        <f t="shared" si="3"/>
        <v>1.164021164021164</v>
      </c>
      <c r="AQ11" s="2">
        <f t="shared" si="3"/>
        <v>1.1886304909560723</v>
      </c>
      <c r="AR11" s="2">
        <f t="shared" si="3"/>
        <v>1.2121212121212122</v>
      </c>
      <c r="AS11" s="2">
        <f t="shared" si="3"/>
        <v>1.2345679012345678</v>
      </c>
      <c r="AT11" s="2">
        <f t="shared" si="3"/>
        <v>1.2560386473429952</v>
      </c>
      <c r="AU11" s="2">
        <f t="shared" si="3"/>
        <v>1.2765957446808511</v>
      </c>
      <c r="AV11" s="2">
        <f t="shared" si="3"/>
        <v>1.2962962962962963</v>
      </c>
      <c r="AW11" s="2">
        <f t="shared" si="3"/>
        <v>1.3151927437641724</v>
      </c>
      <c r="AX11" s="2">
        <f t="shared" si="3"/>
        <v>1.3333333333333333</v>
      </c>
      <c r="AY11" s="2">
        <f t="shared" si="3"/>
        <v>1.3507625272331154</v>
      </c>
      <c r="AZ11" s="2">
        <f t="shared" si="3"/>
        <v>1.3675213675213675</v>
      </c>
      <c r="BA11" s="2">
        <f t="shared" si="3"/>
        <v>1.3836477987421383</v>
      </c>
      <c r="BB11" s="2">
        <f t="shared" si="3"/>
        <v>1.3991769547325104</v>
      </c>
      <c r="BC11" s="2">
        <f t="shared" si="3"/>
        <v>1.1111111111111112</v>
      </c>
      <c r="BE11" s="2">
        <f>BE5*1.11</f>
        <v>1138.8600000000001</v>
      </c>
      <c r="BF11" s="2">
        <f t="shared" si="3"/>
        <v>1.1101532567049808</v>
      </c>
      <c r="BG11" s="2">
        <f t="shared" si="3"/>
        <v>1.1101694915254237</v>
      </c>
      <c r="BH11" s="2">
        <f t="shared" si="3"/>
        <v>1.1101851851851852</v>
      </c>
      <c r="BI11" s="2">
        <f t="shared" si="3"/>
        <v>1.110200364298725</v>
      </c>
      <c r="BJ11" s="2">
        <f t="shared" si="3"/>
        <v>1.1102150537634408</v>
      </c>
      <c r="BK11" s="2">
        <f t="shared" si="3"/>
        <v>1.1102292768959436</v>
      </c>
      <c r="BL11" s="2">
        <f t="shared" si="3"/>
        <v>1.1102430555555556</v>
      </c>
      <c r="BM11" s="2">
        <f t="shared" si="3"/>
        <v>1.1102564102564103</v>
      </c>
      <c r="BN11" s="2">
        <f t="shared" si="3"/>
        <v>1.1102693602693603</v>
      </c>
      <c r="BO11" s="2">
        <f t="shared" ref="BO11:BP11" si="4">BO10/BO5</f>
        <v>1.1102819237147596</v>
      </c>
      <c r="BP11" s="2">
        <f t="shared" si="4"/>
        <v>1.1102941176470589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30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55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</v>
      </c>
      <c r="AZ20">
        <v>2</v>
      </c>
      <c r="BA20">
        <v>3</v>
      </c>
      <c r="BB20">
        <v>4</v>
      </c>
      <c r="BC20">
        <v>5</v>
      </c>
      <c r="BD20">
        <v>6</v>
      </c>
      <c r="BE20">
        <v>7</v>
      </c>
      <c r="BF20">
        <v>8</v>
      </c>
      <c r="BG20">
        <v>9</v>
      </c>
      <c r="BH20">
        <v>10</v>
      </c>
      <c r="BI20">
        <v>11</v>
      </c>
      <c r="BJ20">
        <v>12</v>
      </c>
      <c r="BK20">
        <v>13</v>
      </c>
      <c r="BL20">
        <v>14</v>
      </c>
      <c r="BM20">
        <v>15</v>
      </c>
      <c r="BN20">
        <v>16</v>
      </c>
      <c r="BO20">
        <v>17</v>
      </c>
      <c r="BP20">
        <v>18</v>
      </c>
      <c r="BQ20">
        <v>18</v>
      </c>
      <c r="BR20">
        <v>19</v>
      </c>
      <c r="BS20">
        <v>20</v>
      </c>
      <c r="BT20">
        <v>20</v>
      </c>
      <c r="BU20">
        <f t="shared" ref="BU20:CU20" si="5">BT20+0.5</f>
        <v>20.5</v>
      </c>
      <c r="BV20">
        <f t="shared" si="5"/>
        <v>21</v>
      </c>
      <c r="BW20">
        <f t="shared" si="5"/>
        <v>21.5</v>
      </c>
      <c r="BX20">
        <f t="shared" si="5"/>
        <v>22</v>
      </c>
      <c r="BY20">
        <f t="shared" si="5"/>
        <v>22.5</v>
      </c>
      <c r="BZ20">
        <f t="shared" si="5"/>
        <v>23</v>
      </c>
      <c r="CA20">
        <f t="shared" si="5"/>
        <v>23.5</v>
      </c>
      <c r="CB20">
        <f t="shared" si="5"/>
        <v>24</v>
      </c>
      <c r="CC20">
        <f t="shared" si="5"/>
        <v>24.5</v>
      </c>
      <c r="CD20">
        <f t="shared" si="5"/>
        <v>25</v>
      </c>
      <c r="CE20">
        <f t="shared" si="5"/>
        <v>25.5</v>
      </c>
      <c r="CF20">
        <f t="shared" si="5"/>
        <v>26</v>
      </c>
      <c r="CG20">
        <f t="shared" si="5"/>
        <v>26.5</v>
      </c>
      <c r="CH20">
        <f t="shared" si="5"/>
        <v>27</v>
      </c>
      <c r="CI20">
        <f t="shared" si="5"/>
        <v>27.5</v>
      </c>
      <c r="CJ20">
        <f t="shared" si="5"/>
        <v>28</v>
      </c>
      <c r="CK20">
        <f t="shared" si="5"/>
        <v>28.5</v>
      </c>
      <c r="CL20">
        <f t="shared" si="5"/>
        <v>29</v>
      </c>
      <c r="CM20">
        <f t="shared" si="5"/>
        <v>29.5</v>
      </c>
      <c r="CN20">
        <f t="shared" si="5"/>
        <v>30</v>
      </c>
      <c r="CO20">
        <f t="shared" si="5"/>
        <v>30.5</v>
      </c>
      <c r="CP20">
        <f t="shared" si="5"/>
        <v>31</v>
      </c>
      <c r="CQ20">
        <f t="shared" si="5"/>
        <v>31.5</v>
      </c>
      <c r="CR20">
        <f t="shared" si="5"/>
        <v>32</v>
      </c>
      <c r="CS20">
        <f t="shared" si="5"/>
        <v>32.5</v>
      </c>
      <c r="CT20">
        <f t="shared" si="5"/>
        <v>33</v>
      </c>
      <c r="CU20">
        <f t="shared" si="5"/>
        <v>33.5</v>
      </c>
      <c r="CV20" t="s">
        <v>77</v>
      </c>
    </row>
    <row r="21" spans="1:100" x14ac:dyDescent="0.25">
      <c r="A21" t="s">
        <v>59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146</v>
      </c>
      <c r="B25">
        <v>6</v>
      </c>
      <c r="C25">
        <v>9</v>
      </c>
      <c r="D25">
        <v>12</v>
      </c>
      <c r="E25">
        <v>15</v>
      </c>
      <c r="F25">
        <v>18</v>
      </c>
      <c r="G25">
        <v>21</v>
      </c>
      <c r="H25">
        <v>24</v>
      </c>
      <c r="I25">
        <v>27</v>
      </c>
      <c r="J25">
        <v>30</v>
      </c>
      <c r="K25">
        <v>33</v>
      </c>
      <c r="L25">
        <v>36</v>
      </c>
      <c r="M25">
        <v>39</v>
      </c>
      <c r="N25">
        <v>42</v>
      </c>
      <c r="O25">
        <v>45</v>
      </c>
      <c r="P25">
        <v>48</v>
      </c>
      <c r="Q25">
        <v>51</v>
      </c>
      <c r="R25">
        <v>54</v>
      </c>
      <c r="S25">
        <v>57</v>
      </c>
      <c r="T25">
        <v>60</v>
      </c>
      <c r="U25">
        <v>63</v>
      </c>
      <c r="V25">
        <v>66</v>
      </c>
      <c r="W25">
        <v>69</v>
      </c>
      <c r="X25">
        <v>72</v>
      </c>
      <c r="Y25">
        <v>75</v>
      </c>
      <c r="Z25">
        <v>78</v>
      </c>
      <c r="AA25">
        <v>81</v>
      </c>
      <c r="AB25">
        <v>84</v>
      </c>
      <c r="AC25">
        <v>87</v>
      </c>
      <c r="AD25">
        <v>90</v>
      </c>
      <c r="AE25">
        <v>93</v>
      </c>
      <c r="AF25">
        <v>96</v>
      </c>
      <c r="AG25">
        <v>99</v>
      </c>
      <c r="AH25">
        <v>102</v>
      </c>
      <c r="AI25">
        <v>105</v>
      </c>
      <c r="AJ25">
        <v>108</v>
      </c>
      <c r="AK25">
        <v>111</v>
      </c>
      <c r="AL25">
        <v>114</v>
      </c>
      <c r="AM25">
        <v>117</v>
      </c>
      <c r="AN25">
        <v>120</v>
      </c>
      <c r="AO25">
        <v>123</v>
      </c>
      <c r="AP25">
        <v>126</v>
      </c>
      <c r="AQ25">
        <v>129</v>
      </c>
      <c r="AR25">
        <v>132</v>
      </c>
      <c r="AS25">
        <v>135</v>
      </c>
      <c r="AT25">
        <v>138</v>
      </c>
      <c r="AU25">
        <v>141</v>
      </c>
      <c r="AV25">
        <v>144</v>
      </c>
      <c r="AW25">
        <v>147</v>
      </c>
      <c r="AX25">
        <v>150</v>
      </c>
      <c r="AY25">
        <v>153</v>
      </c>
      <c r="AZ25">
        <v>156</v>
      </c>
      <c r="BA25">
        <v>159</v>
      </c>
      <c r="BB25">
        <v>162</v>
      </c>
      <c r="BC25">
        <v>165</v>
      </c>
      <c r="BD25">
        <v>168</v>
      </c>
      <c r="BE25">
        <v>171</v>
      </c>
      <c r="BF25">
        <v>174</v>
      </c>
      <c r="BG25">
        <v>177</v>
      </c>
      <c r="BH25">
        <v>180</v>
      </c>
      <c r="BI25">
        <v>183</v>
      </c>
      <c r="BJ25">
        <v>186</v>
      </c>
      <c r="BK25">
        <v>189</v>
      </c>
      <c r="BL25">
        <v>192</v>
      </c>
      <c r="BM25">
        <v>195</v>
      </c>
      <c r="BN25">
        <v>198</v>
      </c>
      <c r="BO25">
        <v>201</v>
      </c>
      <c r="BP25">
        <v>204</v>
      </c>
      <c r="BQ25">
        <v>207</v>
      </c>
      <c r="BR25">
        <v>210</v>
      </c>
      <c r="BS25">
        <v>213</v>
      </c>
      <c r="BT25">
        <v>216</v>
      </c>
      <c r="BU25">
        <v>219</v>
      </c>
      <c r="BV25">
        <v>222</v>
      </c>
      <c r="BW25">
        <v>225</v>
      </c>
      <c r="BX25">
        <v>228</v>
      </c>
      <c r="BY25">
        <v>231</v>
      </c>
      <c r="BZ25">
        <v>234</v>
      </c>
      <c r="CA25">
        <v>237</v>
      </c>
      <c r="CB25">
        <v>240</v>
      </c>
      <c r="CC25">
        <v>243</v>
      </c>
      <c r="CD25">
        <v>246</v>
      </c>
      <c r="CE25">
        <v>249</v>
      </c>
      <c r="CF25">
        <v>252</v>
      </c>
      <c r="CG25">
        <v>255</v>
      </c>
      <c r="CH25">
        <v>258</v>
      </c>
      <c r="CI25">
        <v>261</v>
      </c>
      <c r="CJ25">
        <v>264</v>
      </c>
      <c r="CK25">
        <v>267</v>
      </c>
      <c r="CL25">
        <v>270</v>
      </c>
      <c r="CM25">
        <v>273</v>
      </c>
      <c r="CN25">
        <v>276</v>
      </c>
      <c r="CO25">
        <v>279</v>
      </c>
      <c r="CP25">
        <v>282</v>
      </c>
      <c r="CQ25">
        <v>285</v>
      </c>
      <c r="CR25">
        <v>288</v>
      </c>
      <c r="CS25">
        <v>291</v>
      </c>
      <c r="CT25">
        <v>294</v>
      </c>
      <c r="CU25">
        <v>297</v>
      </c>
      <c r="CV25" t="s">
        <v>118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2</v>
      </c>
      <c r="BA26">
        <v>3</v>
      </c>
      <c r="BB26">
        <v>4</v>
      </c>
      <c r="BC26">
        <v>5</v>
      </c>
      <c r="BD26">
        <v>6</v>
      </c>
      <c r="BE26">
        <v>7</v>
      </c>
      <c r="BF26">
        <v>8</v>
      </c>
      <c r="BG26">
        <v>9</v>
      </c>
      <c r="BH26">
        <v>10</v>
      </c>
      <c r="BI26">
        <v>11</v>
      </c>
      <c r="BJ26">
        <v>12</v>
      </c>
      <c r="BK26">
        <v>13</v>
      </c>
      <c r="BL26">
        <v>14</v>
      </c>
      <c r="BM26">
        <v>15</v>
      </c>
      <c r="BN26">
        <v>16</v>
      </c>
      <c r="BO26">
        <v>17</v>
      </c>
      <c r="BP26">
        <v>18</v>
      </c>
      <c r="BQ26">
        <v>18</v>
      </c>
      <c r="BR26">
        <v>19</v>
      </c>
      <c r="BS26">
        <v>19</v>
      </c>
      <c r="BT26">
        <v>20</v>
      </c>
      <c r="BU26">
        <f t="shared" ref="BU26:CU26" si="6">BT26+0.5</f>
        <v>20.5</v>
      </c>
      <c r="BV26">
        <f t="shared" si="6"/>
        <v>21</v>
      </c>
      <c r="BW26">
        <f t="shared" si="6"/>
        <v>21.5</v>
      </c>
      <c r="BX26">
        <f t="shared" si="6"/>
        <v>22</v>
      </c>
      <c r="BY26">
        <f t="shared" si="6"/>
        <v>22.5</v>
      </c>
      <c r="BZ26">
        <f t="shared" si="6"/>
        <v>23</v>
      </c>
      <c r="CA26">
        <f t="shared" si="6"/>
        <v>23.5</v>
      </c>
      <c r="CB26">
        <f t="shared" si="6"/>
        <v>24</v>
      </c>
      <c r="CC26">
        <f t="shared" si="6"/>
        <v>24.5</v>
      </c>
      <c r="CD26">
        <f t="shared" si="6"/>
        <v>25</v>
      </c>
      <c r="CE26">
        <f t="shared" si="6"/>
        <v>25.5</v>
      </c>
      <c r="CF26">
        <f t="shared" si="6"/>
        <v>26</v>
      </c>
      <c r="CG26">
        <f t="shared" si="6"/>
        <v>26.5</v>
      </c>
      <c r="CH26">
        <f t="shared" si="6"/>
        <v>27</v>
      </c>
      <c r="CI26">
        <f t="shared" si="6"/>
        <v>27.5</v>
      </c>
      <c r="CJ26">
        <f t="shared" si="6"/>
        <v>28</v>
      </c>
      <c r="CK26">
        <f t="shared" si="6"/>
        <v>28.5</v>
      </c>
      <c r="CL26">
        <f t="shared" si="6"/>
        <v>29</v>
      </c>
      <c r="CM26">
        <f t="shared" si="6"/>
        <v>29.5</v>
      </c>
      <c r="CN26">
        <f t="shared" si="6"/>
        <v>30</v>
      </c>
      <c r="CO26">
        <f t="shared" si="6"/>
        <v>30.5</v>
      </c>
      <c r="CP26">
        <f t="shared" si="6"/>
        <v>31</v>
      </c>
      <c r="CQ26">
        <f t="shared" si="6"/>
        <v>31.5</v>
      </c>
      <c r="CR26">
        <f t="shared" si="6"/>
        <v>32</v>
      </c>
      <c r="CS26">
        <f t="shared" si="6"/>
        <v>32.5</v>
      </c>
      <c r="CT26">
        <f t="shared" si="6"/>
        <v>33</v>
      </c>
      <c r="CU26">
        <f t="shared" si="6"/>
        <v>33.5</v>
      </c>
      <c r="CV26" t="s">
        <v>77</v>
      </c>
    </row>
  </sheetData>
  <sortState ref="A1:CV35">
    <sortCondition ref="A1:A35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X14"/>
  <sheetViews>
    <sheetView workbookViewId="0"/>
  </sheetViews>
  <sheetFormatPr defaultRowHeight="15" x14ac:dyDescent="0.25"/>
  <cols>
    <col min="1" max="1" width="24.42578125" customWidth="1"/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Strength,4;8;12;16;20;24;28;32;36;40;44;48;52;56;60;64;68;72;76;80;84;88;92;96;100;104;108;112;116;120;124;128;132;136;140;144;148;152;156;160;164;168;172;176;180;184;188;192;196;200;204;208;212;216;220;224;228;232;236;240;244;248;252;256;260;264;268;272;276;280;284;288;292;296;300;304;308;312;316;320;324;328;332;336;340;344;348;352;356;360;364;368;372;376;380;384;388;392;396;400,</v>
      </c>
      <c r="B1" t="s">
        <v>101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v>200</v>
      </c>
      <c r="AZ1">
        <v>204</v>
      </c>
      <c r="BA1">
        <v>208</v>
      </c>
      <c r="BB1">
        <v>212</v>
      </c>
      <c r="BC1">
        <v>216</v>
      </c>
      <c r="BD1">
        <v>220</v>
      </c>
      <c r="BE1">
        <v>224</v>
      </c>
      <c r="BF1">
        <v>228</v>
      </c>
      <c r="BG1">
        <v>232</v>
      </c>
      <c r="BH1">
        <v>236</v>
      </c>
      <c r="BI1">
        <v>240</v>
      </c>
      <c r="BJ1">
        <v>244</v>
      </c>
      <c r="BK1">
        <v>248</v>
      </c>
      <c r="BL1">
        <v>252</v>
      </c>
      <c r="BM1">
        <v>256</v>
      </c>
      <c r="BN1">
        <v>260</v>
      </c>
      <c r="BO1">
        <v>264</v>
      </c>
      <c r="BP1">
        <v>268</v>
      </c>
      <c r="BQ1">
        <v>272</v>
      </c>
      <c r="BR1">
        <v>276</v>
      </c>
      <c r="BS1">
        <v>280</v>
      </c>
      <c r="BT1">
        <v>284</v>
      </c>
      <c r="BU1">
        <v>288</v>
      </c>
      <c r="BV1">
        <v>292</v>
      </c>
      <c r="BW1">
        <v>296</v>
      </c>
      <c r="BX1">
        <v>300</v>
      </c>
      <c r="BY1">
        <v>304</v>
      </c>
      <c r="BZ1">
        <v>308</v>
      </c>
      <c r="CA1">
        <v>312</v>
      </c>
      <c r="CB1">
        <v>316</v>
      </c>
      <c r="CC1">
        <v>320</v>
      </c>
      <c r="CD1">
        <v>324</v>
      </c>
      <c r="CE1">
        <v>328</v>
      </c>
      <c r="CF1">
        <v>332</v>
      </c>
      <c r="CG1">
        <v>336</v>
      </c>
      <c r="CH1">
        <v>340</v>
      </c>
      <c r="CI1">
        <v>344</v>
      </c>
      <c r="CJ1">
        <v>348</v>
      </c>
      <c r="CK1">
        <v>352</v>
      </c>
      <c r="CL1">
        <v>356</v>
      </c>
      <c r="CM1">
        <v>360</v>
      </c>
      <c r="CN1">
        <v>364</v>
      </c>
      <c r="CO1">
        <v>368</v>
      </c>
      <c r="CP1">
        <v>372</v>
      </c>
      <c r="CQ1">
        <v>376</v>
      </c>
      <c r="CR1">
        <v>380</v>
      </c>
      <c r="CS1">
        <v>384</v>
      </c>
      <c r="CT1">
        <v>388</v>
      </c>
      <c r="CU1">
        <v>392</v>
      </c>
      <c r="CV1">
        <v>396</v>
      </c>
      <c r="CW1" t="s">
        <v>114</v>
      </c>
    </row>
    <row r="2" spans="1:102" x14ac:dyDescent="0.25">
      <c r="A2" t="str">
        <f t="shared" ref="A2:A11" si="0">combine(B2:CW2)</f>
        <v>characterDexterity,3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2" t="s">
        <v>115</v>
      </c>
      <c r="C2">
        <v>6</v>
      </c>
      <c r="D2">
        <v>9</v>
      </c>
      <c r="E2">
        <v>12</v>
      </c>
      <c r="F2">
        <v>15</v>
      </c>
      <c r="G2">
        <v>18</v>
      </c>
      <c r="H2">
        <v>21</v>
      </c>
      <c r="I2">
        <v>24</v>
      </c>
      <c r="J2">
        <v>27</v>
      </c>
      <c r="K2">
        <v>30</v>
      </c>
      <c r="L2">
        <v>33</v>
      </c>
      <c r="M2">
        <v>36</v>
      </c>
      <c r="N2">
        <v>39</v>
      </c>
      <c r="O2">
        <v>42</v>
      </c>
      <c r="P2">
        <v>45</v>
      </c>
      <c r="Q2">
        <v>48</v>
      </c>
      <c r="R2">
        <v>51</v>
      </c>
      <c r="S2">
        <v>54</v>
      </c>
      <c r="T2">
        <v>57</v>
      </c>
      <c r="U2">
        <v>60</v>
      </c>
      <c r="V2">
        <v>63</v>
      </c>
      <c r="W2">
        <v>66</v>
      </c>
      <c r="X2">
        <v>69</v>
      </c>
      <c r="Y2">
        <v>72</v>
      </c>
      <c r="Z2">
        <v>75</v>
      </c>
      <c r="AA2">
        <v>78</v>
      </c>
      <c r="AB2">
        <v>81</v>
      </c>
      <c r="AC2">
        <v>84</v>
      </c>
      <c r="AD2">
        <v>87</v>
      </c>
      <c r="AE2">
        <v>90</v>
      </c>
      <c r="AF2">
        <v>93</v>
      </c>
      <c r="AG2">
        <v>96</v>
      </c>
      <c r="AH2">
        <v>99</v>
      </c>
      <c r="AI2">
        <v>102</v>
      </c>
      <c r="AJ2">
        <v>105</v>
      </c>
      <c r="AK2">
        <v>108</v>
      </c>
      <c r="AL2">
        <v>111</v>
      </c>
      <c r="AM2">
        <v>114</v>
      </c>
      <c r="AN2">
        <v>117</v>
      </c>
      <c r="AO2">
        <v>120</v>
      </c>
      <c r="AP2">
        <v>123</v>
      </c>
      <c r="AQ2">
        <v>126</v>
      </c>
      <c r="AR2">
        <v>129</v>
      </c>
      <c r="AS2">
        <v>132</v>
      </c>
      <c r="AT2">
        <v>135</v>
      </c>
      <c r="AU2">
        <v>138</v>
      </c>
      <c r="AV2">
        <v>141</v>
      </c>
      <c r="AW2">
        <v>144</v>
      </c>
      <c r="AX2">
        <v>147</v>
      </c>
      <c r="AY2">
        <v>150</v>
      </c>
      <c r="AZ2">
        <v>153</v>
      </c>
      <c r="BA2">
        <v>156</v>
      </c>
      <c r="BB2">
        <v>159</v>
      </c>
      <c r="BC2">
        <v>162</v>
      </c>
      <c r="BD2">
        <v>165</v>
      </c>
      <c r="BE2">
        <v>168</v>
      </c>
      <c r="BF2">
        <v>171</v>
      </c>
      <c r="BG2">
        <v>174</v>
      </c>
      <c r="BH2">
        <v>177</v>
      </c>
      <c r="BI2">
        <v>180</v>
      </c>
      <c r="BJ2">
        <v>183</v>
      </c>
      <c r="BK2">
        <v>186</v>
      </c>
      <c r="BL2">
        <v>189</v>
      </c>
      <c r="BM2">
        <v>192</v>
      </c>
      <c r="BN2">
        <v>195</v>
      </c>
      <c r="BO2">
        <v>198</v>
      </c>
      <c r="BP2">
        <v>201</v>
      </c>
      <c r="BQ2">
        <v>204</v>
      </c>
      <c r="BR2">
        <v>207</v>
      </c>
      <c r="BS2">
        <v>210</v>
      </c>
      <c r="BT2">
        <v>213</v>
      </c>
      <c r="BU2">
        <v>216</v>
      </c>
      <c r="BV2">
        <v>219</v>
      </c>
      <c r="BW2">
        <v>222</v>
      </c>
      <c r="BX2">
        <v>225</v>
      </c>
      <c r="BY2">
        <v>228</v>
      </c>
      <c r="BZ2">
        <v>231</v>
      </c>
      <c r="CA2">
        <v>234</v>
      </c>
      <c r="CB2">
        <v>237</v>
      </c>
      <c r="CC2">
        <v>240</v>
      </c>
      <c r="CD2">
        <v>243</v>
      </c>
      <c r="CE2">
        <v>246</v>
      </c>
      <c r="CF2">
        <v>249</v>
      </c>
      <c r="CG2">
        <v>252</v>
      </c>
      <c r="CH2">
        <v>255</v>
      </c>
      <c r="CI2">
        <v>258</v>
      </c>
      <c r="CJ2">
        <v>261</v>
      </c>
      <c r="CK2">
        <v>264</v>
      </c>
      <c r="CL2">
        <v>267</v>
      </c>
      <c r="CM2">
        <v>270</v>
      </c>
      <c r="CN2">
        <v>273</v>
      </c>
      <c r="CO2">
        <v>276</v>
      </c>
      <c r="CP2">
        <v>279</v>
      </c>
      <c r="CQ2">
        <v>282</v>
      </c>
      <c r="CR2">
        <v>285</v>
      </c>
      <c r="CS2">
        <v>288</v>
      </c>
      <c r="CT2">
        <v>291</v>
      </c>
      <c r="CU2">
        <v>294</v>
      </c>
      <c r="CV2">
        <v>297</v>
      </c>
      <c r="CW2" t="s">
        <v>118</v>
      </c>
    </row>
    <row r="3" spans="1:102" x14ac:dyDescent="0.25">
      <c r="A3" t="str">
        <f t="shared" si="0"/>
        <v>characterIntelligence,3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3" t="s">
        <v>117</v>
      </c>
      <c r="C3">
        <v>6</v>
      </c>
      <c r="D3">
        <v>9</v>
      </c>
      <c r="E3">
        <v>12</v>
      </c>
      <c r="F3">
        <v>15</v>
      </c>
      <c r="G3">
        <v>18</v>
      </c>
      <c r="H3">
        <v>21</v>
      </c>
      <c r="I3">
        <v>24</v>
      </c>
      <c r="J3">
        <v>27</v>
      </c>
      <c r="K3">
        <v>30</v>
      </c>
      <c r="L3">
        <v>33</v>
      </c>
      <c r="M3">
        <v>36</v>
      </c>
      <c r="N3">
        <v>39</v>
      </c>
      <c r="O3">
        <v>42</v>
      </c>
      <c r="P3">
        <v>45</v>
      </c>
      <c r="Q3">
        <v>48</v>
      </c>
      <c r="R3">
        <v>51</v>
      </c>
      <c r="S3">
        <v>54</v>
      </c>
      <c r="T3">
        <v>57</v>
      </c>
      <c r="U3">
        <v>60</v>
      </c>
      <c r="V3">
        <v>63</v>
      </c>
      <c r="W3">
        <v>66</v>
      </c>
      <c r="X3">
        <v>69</v>
      </c>
      <c r="Y3">
        <v>72</v>
      </c>
      <c r="Z3">
        <v>75</v>
      </c>
      <c r="AA3">
        <v>78</v>
      </c>
      <c r="AB3">
        <v>81</v>
      </c>
      <c r="AC3">
        <v>84</v>
      </c>
      <c r="AD3">
        <v>87</v>
      </c>
      <c r="AE3">
        <v>90</v>
      </c>
      <c r="AF3">
        <v>93</v>
      </c>
      <c r="AG3">
        <v>96</v>
      </c>
      <c r="AH3">
        <v>99</v>
      </c>
      <c r="AI3">
        <v>102</v>
      </c>
      <c r="AJ3">
        <v>105</v>
      </c>
      <c r="AK3">
        <v>108</v>
      </c>
      <c r="AL3">
        <v>111</v>
      </c>
      <c r="AM3">
        <v>114</v>
      </c>
      <c r="AN3">
        <v>117</v>
      </c>
      <c r="AO3">
        <v>120</v>
      </c>
      <c r="AP3">
        <v>123</v>
      </c>
      <c r="AQ3">
        <v>126</v>
      </c>
      <c r="AR3">
        <v>129</v>
      </c>
      <c r="AS3">
        <v>132</v>
      </c>
      <c r="AT3">
        <v>135</v>
      </c>
      <c r="AU3">
        <v>138</v>
      </c>
      <c r="AV3">
        <v>141</v>
      </c>
      <c r="AW3">
        <v>144</v>
      </c>
      <c r="AX3">
        <v>147</v>
      </c>
      <c r="AY3">
        <v>150</v>
      </c>
      <c r="AZ3">
        <v>153</v>
      </c>
      <c r="BA3">
        <v>156</v>
      </c>
      <c r="BB3">
        <v>159</v>
      </c>
      <c r="BC3">
        <v>162</v>
      </c>
      <c r="BD3">
        <v>165</v>
      </c>
      <c r="BE3">
        <v>168</v>
      </c>
      <c r="BF3">
        <v>171</v>
      </c>
      <c r="BG3">
        <v>174</v>
      </c>
      <c r="BH3">
        <v>177</v>
      </c>
      <c r="BI3">
        <v>180</v>
      </c>
      <c r="BJ3">
        <v>183</v>
      </c>
      <c r="BK3">
        <v>186</v>
      </c>
      <c r="BL3">
        <v>189</v>
      </c>
      <c r="BM3">
        <v>192</v>
      </c>
      <c r="BN3">
        <v>195</v>
      </c>
      <c r="BO3">
        <v>198</v>
      </c>
      <c r="BP3">
        <v>201</v>
      </c>
      <c r="BQ3">
        <v>204</v>
      </c>
      <c r="BR3">
        <v>207</v>
      </c>
      <c r="BS3">
        <v>210</v>
      </c>
      <c r="BT3">
        <v>213</v>
      </c>
      <c r="BU3">
        <v>216</v>
      </c>
      <c r="BV3">
        <v>219</v>
      </c>
      <c r="BW3">
        <v>222</v>
      </c>
      <c r="BX3">
        <v>225</v>
      </c>
      <c r="BY3">
        <v>228</v>
      </c>
      <c r="BZ3">
        <v>231</v>
      </c>
      <c r="CA3">
        <v>234</v>
      </c>
      <c r="CB3">
        <v>237</v>
      </c>
      <c r="CC3">
        <v>240</v>
      </c>
      <c r="CD3">
        <v>243</v>
      </c>
      <c r="CE3">
        <v>246</v>
      </c>
      <c r="CF3">
        <v>249</v>
      </c>
      <c r="CG3">
        <v>252</v>
      </c>
      <c r="CH3">
        <v>255</v>
      </c>
      <c r="CI3">
        <v>258</v>
      </c>
      <c r="CJ3">
        <v>261</v>
      </c>
      <c r="CK3">
        <v>264</v>
      </c>
      <c r="CL3">
        <v>267</v>
      </c>
      <c r="CM3">
        <v>270</v>
      </c>
      <c r="CN3">
        <v>273</v>
      </c>
      <c r="CO3">
        <v>276</v>
      </c>
      <c r="CP3">
        <v>279</v>
      </c>
      <c r="CQ3">
        <v>282</v>
      </c>
      <c r="CR3">
        <v>285</v>
      </c>
      <c r="CS3">
        <v>288</v>
      </c>
      <c r="CT3">
        <v>291</v>
      </c>
      <c r="CU3">
        <v>294</v>
      </c>
      <c r="CV3">
        <v>297</v>
      </c>
      <c r="CW3" t="s">
        <v>118</v>
      </c>
    </row>
    <row r="4" spans="1:102" x14ac:dyDescent="0.25">
      <c r="A4" t="str">
        <f t="shared" si="0"/>
        <v>characterLife,26;52;78;104;130;156;182;208;234;260;286;312;338;364;390;416;442;468;494;520;546;572;598;624;650;676;702;728;754;780;806;832;858;884;910;936;962;988;1014;1040;1066;1092;1118;1144;1170;1196;1222;1248;1274;1300;1326;1352;1378;1404;1430;1456;1482;1508;1534;1560;1586;1612;1638;1664;1690;1716;1742;1768;1794;1820;1846;1872;1898;1924;1950;1976;2002;2028;2054;2080;2106;2132;2158;2184;2210;2236;2262;2288;2314;2340;2366;2392;2418;2444;2470;2496;2522;2548;2574;2600,</v>
      </c>
      <c r="B4" t="s">
        <v>119</v>
      </c>
      <c r="C4">
        <v>52</v>
      </c>
      <c r="D4">
        <v>78</v>
      </c>
      <c r="E4">
        <v>104</v>
      </c>
      <c r="F4">
        <v>130</v>
      </c>
      <c r="G4">
        <v>156</v>
      </c>
      <c r="H4">
        <v>182</v>
      </c>
      <c r="I4">
        <v>208</v>
      </c>
      <c r="J4">
        <v>234</v>
      </c>
      <c r="K4">
        <v>260</v>
      </c>
      <c r="L4">
        <v>286</v>
      </c>
      <c r="M4">
        <v>312</v>
      </c>
      <c r="N4">
        <v>338</v>
      </c>
      <c r="O4">
        <v>364</v>
      </c>
      <c r="P4">
        <v>390</v>
      </c>
      <c r="Q4">
        <v>416</v>
      </c>
      <c r="R4">
        <v>442</v>
      </c>
      <c r="S4">
        <v>468</v>
      </c>
      <c r="T4">
        <v>494</v>
      </c>
      <c r="U4">
        <v>520</v>
      </c>
      <c r="V4">
        <v>546</v>
      </c>
      <c r="W4">
        <v>572</v>
      </c>
      <c r="X4">
        <v>598</v>
      </c>
      <c r="Y4">
        <v>624</v>
      </c>
      <c r="Z4">
        <v>650</v>
      </c>
      <c r="AA4">
        <v>676</v>
      </c>
      <c r="AB4">
        <v>702</v>
      </c>
      <c r="AC4">
        <v>728</v>
      </c>
      <c r="AD4">
        <v>754</v>
      </c>
      <c r="AE4">
        <v>780</v>
      </c>
      <c r="AF4">
        <v>806</v>
      </c>
      <c r="AG4">
        <v>832</v>
      </c>
      <c r="AH4">
        <v>858</v>
      </c>
      <c r="AI4">
        <v>884</v>
      </c>
      <c r="AJ4">
        <v>910</v>
      </c>
      <c r="AK4">
        <v>936</v>
      </c>
      <c r="AL4">
        <v>962</v>
      </c>
      <c r="AM4">
        <v>988</v>
      </c>
      <c r="AN4">
        <v>1014</v>
      </c>
      <c r="AO4">
        <v>1040</v>
      </c>
      <c r="AP4">
        <v>1066</v>
      </c>
      <c r="AQ4">
        <v>1092</v>
      </c>
      <c r="AR4">
        <v>1118</v>
      </c>
      <c r="AS4">
        <v>1144</v>
      </c>
      <c r="AT4">
        <v>1170</v>
      </c>
      <c r="AU4">
        <v>1196</v>
      </c>
      <c r="AV4">
        <v>1222</v>
      </c>
      <c r="AW4">
        <v>1248</v>
      </c>
      <c r="AX4">
        <v>1274</v>
      </c>
      <c r="AY4">
        <v>1300</v>
      </c>
      <c r="AZ4">
        <v>1326</v>
      </c>
      <c r="BA4">
        <v>1352</v>
      </c>
      <c r="BB4">
        <v>1378</v>
      </c>
      <c r="BC4">
        <v>1404</v>
      </c>
      <c r="BD4">
        <v>1430</v>
      </c>
      <c r="BE4">
        <v>1456</v>
      </c>
      <c r="BF4">
        <v>1482</v>
      </c>
      <c r="BG4">
        <v>1508</v>
      </c>
      <c r="BH4">
        <v>1534</v>
      </c>
      <c r="BI4">
        <v>1560</v>
      </c>
      <c r="BJ4">
        <v>1586</v>
      </c>
      <c r="BK4">
        <v>1612</v>
      </c>
      <c r="BL4">
        <v>1638</v>
      </c>
      <c r="BM4">
        <v>1664</v>
      </c>
      <c r="BN4">
        <v>1690</v>
      </c>
      <c r="BO4">
        <v>1716</v>
      </c>
      <c r="BP4">
        <v>1742</v>
      </c>
      <c r="BQ4">
        <v>1768</v>
      </c>
      <c r="BR4">
        <v>1794</v>
      </c>
      <c r="BS4">
        <v>1820</v>
      </c>
      <c r="BT4">
        <v>1846</v>
      </c>
      <c r="BU4">
        <v>1872</v>
      </c>
      <c r="BV4">
        <v>1898</v>
      </c>
      <c r="BW4">
        <v>1924</v>
      </c>
      <c r="BX4">
        <v>1950</v>
      </c>
      <c r="BY4">
        <v>1976</v>
      </c>
      <c r="BZ4">
        <v>2002</v>
      </c>
      <c r="CA4">
        <v>2028</v>
      </c>
      <c r="CB4">
        <v>2054</v>
      </c>
      <c r="CC4">
        <v>2080</v>
      </c>
      <c r="CD4">
        <v>2106</v>
      </c>
      <c r="CE4">
        <v>2132</v>
      </c>
      <c r="CF4">
        <v>2158</v>
      </c>
      <c r="CG4">
        <v>2184</v>
      </c>
      <c r="CH4">
        <v>2210</v>
      </c>
      <c r="CI4">
        <v>2236</v>
      </c>
      <c r="CJ4">
        <v>2262</v>
      </c>
      <c r="CK4">
        <v>2288</v>
      </c>
      <c r="CL4">
        <v>2314</v>
      </c>
      <c r="CM4">
        <v>2340</v>
      </c>
      <c r="CN4">
        <v>2366</v>
      </c>
      <c r="CO4">
        <v>2392</v>
      </c>
      <c r="CP4">
        <v>2418</v>
      </c>
      <c r="CQ4">
        <v>2444</v>
      </c>
      <c r="CR4">
        <v>2470</v>
      </c>
      <c r="CS4">
        <v>2496</v>
      </c>
      <c r="CT4">
        <v>2522</v>
      </c>
      <c r="CU4">
        <v>2548</v>
      </c>
      <c r="CV4">
        <v>2574</v>
      </c>
      <c r="CW4" t="s">
        <v>120</v>
      </c>
    </row>
    <row r="5" spans="1:102" x14ac:dyDescent="0.25">
      <c r="A5" t="str">
        <f t="shared" si="0"/>
        <v>characterMana,12;24;36;48;60;72;84;96;108;120;132;144;156;168;180;192;204;216;228;240;252;264;276;288;300;312;324;336;348;360;372;384;396;408;420;432;444;456;468;480;492;504;516;528;540;552;564;576;588;600;612;624;636;648;660;672;684;696;708;720;732;744;756;768;780;792;804;816;828;840;852;864;876;888;900;912;924;936;948;960;972;984;996;1008;1020;1032;1044;1056;1068;1080;1092;1104;1116;1128;1140;1152;1164;1176;1188;1200,</v>
      </c>
      <c r="B5" t="s">
        <v>121</v>
      </c>
      <c r="C5">
        <v>24</v>
      </c>
      <c r="D5">
        <v>36</v>
      </c>
      <c r="E5">
        <v>48</v>
      </c>
      <c r="F5">
        <v>60</v>
      </c>
      <c r="G5">
        <v>72</v>
      </c>
      <c r="H5">
        <v>84</v>
      </c>
      <c r="I5">
        <v>96</v>
      </c>
      <c r="J5">
        <v>108</v>
      </c>
      <c r="K5">
        <v>120</v>
      </c>
      <c r="L5">
        <v>132</v>
      </c>
      <c r="M5">
        <v>144</v>
      </c>
      <c r="N5">
        <v>156</v>
      </c>
      <c r="O5">
        <v>168</v>
      </c>
      <c r="P5">
        <v>180</v>
      </c>
      <c r="Q5">
        <v>192</v>
      </c>
      <c r="R5">
        <v>204</v>
      </c>
      <c r="S5">
        <v>216</v>
      </c>
      <c r="T5">
        <v>228</v>
      </c>
      <c r="U5">
        <v>240</v>
      </c>
      <c r="V5">
        <v>252</v>
      </c>
      <c r="W5">
        <v>264</v>
      </c>
      <c r="X5">
        <v>276</v>
      </c>
      <c r="Y5">
        <v>288</v>
      </c>
      <c r="Z5">
        <v>300</v>
      </c>
      <c r="AA5">
        <v>312</v>
      </c>
      <c r="AB5">
        <v>324</v>
      </c>
      <c r="AC5">
        <v>336</v>
      </c>
      <c r="AD5">
        <v>348</v>
      </c>
      <c r="AE5">
        <v>360</v>
      </c>
      <c r="AF5">
        <v>372</v>
      </c>
      <c r="AG5">
        <v>384</v>
      </c>
      <c r="AH5">
        <v>396</v>
      </c>
      <c r="AI5">
        <v>408</v>
      </c>
      <c r="AJ5">
        <v>420</v>
      </c>
      <c r="AK5">
        <v>432</v>
      </c>
      <c r="AL5">
        <v>444</v>
      </c>
      <c r="AM5">
        <v>456</v>
      </c>
      <c r="AN5">
        <v>468</v>
      </c>
      <c r="AO5">
        <v>480</v>
      </c>
      <c r="AP5">
        <v>492</v>
      </c>
      <c r="AQ5">
        <v>504</v>
      </c>
      <c r="AR5">
        <v>516</v>
      </c>
      <c r="AS5">
        <v>528</v>
      </c>
      <c r="AT5">
        <v>540</v>
      </c>
      <c r="AU5">
        <v>552</v>
      </c>
      <c r="AV5">
        <v>564</v>
      </c>
      <c r="AW5">
        <v>576</v>
      </c>
      <c r="AX5">
        <v>588</v>
      </c>
      <c r="AY5">
        <v>600</v>
      </c>
      <c r="AZ5">
        <v>612</v>
      </c>
      <c r="BA5">
        <v>624</v>
      </c>
      <c r="BB5">
        <v>636</v>
      </c>
      <c r="BC5">
        <v>648</v>
      </c>
      <c r="BD5">
        <v>660</v>
      </c>
      <c r="BE5">
        <v>672</v>
      </c>
      <c r="BF5">
        <v>684</v>
      </c>
      <c r="BG5">
        <v>696</v>
      </c>
      <c r="BH5">
        <v>708</v>
      </c>
      <c r="BI5">
        <v>720</v>
      </c>
      <c r="BJ5">
        <v>732</v>
      </c>
      <c r="BK5">
        <v>744</v>
      </c>
      <c r="BL5">
        <v>756</v>
      </c>
      <c r="BM5">
        <v>768</v>
      </c>
      <c r="BN5">
        <v>780</v>
      </c>
      <c r="BO5">
        <v>792</v>
      </c>
      <c r="BP5">
        <v>804</v>
      </c>
      <c r="BQ5">
        <v>816</v>
      </c>
      <c r="BR5">
        <v>828</v>
      </c>
      <c r="BS5">
        <v>840</v>
      </c>
      <c r="BT5">
        <v>852</v>
      </c>
      <c r="BU5">
        <v>864</v>
      </c>
      <c r="BV5">
        <v>876</v>
      </c>
      <c r="BW5">
        <v>888</v>
      </c>
      <c r="BX5">
        <v>900</v>
      </c>
      <c r="BY5">
        <v>912</v>
      </c>
      <c r="BZ5">
        <v>924</v>
      </c>
      <c r="CA5">
        <v>936</v>
      </c>
      <c r="CB5">
        <v>948</v>
      </c>
      <c r="CC5">
        <v>960</v>
      </c>
      <c r="CD5">
        <v>972</v>
      </c>
      <c r="CE5">
        <v>984</v>
      </c>
      <c r="CF5">
        <v>996</v>
      </c>
      <c r="CG5">
        <v>1008</v>
      </c>
      <c r="CH5">
        <v>1020</v>
      </c>
      <c r="CI5">
        <v>1032</v>
      </c>
      <c r="CJ5">
        <v>1044</v>
      </c>
      <c r="CK5">
        <v>1056</v>
      </c>
      <c r="CL5">
        <v>1068</v>
      </c>
      <c r="CM5">
        <v>1080</v>
      </c>
      <c r="CN5">
        <v>1092</v>
      </c>
      <c r="CO5">
        <v>1104</v>
      </c>
      <c r="CP5">
        <v>1116</v>
      </c>
      <c r="CQ5">
        <v>1128</v>
      </c>
      <c r="CR5">
        <v>1140</v>
      </c>
      <c r="CS5">
        <v>1152</v>
      </c>
      <c r="CT5">
        <v>1164</v>
      </c>
      <c r="CU5">
        <v>1176</v>
      </c>
      <c r="CV5">
        <v>1188</v>
      </c>
      <c r="CW5" t="s">
        <v>186</v>
      </c>
    </row>
    <row r="6" spans="1:102" x14ac:dyDescent="0.25">
      <c r="A6" t="str">
        <f t="shared" si="0"/>
        <v>retaliationFearMin,2;2;2;2;2;2;2;2;2;2;2;2;2;2;2;2;2;2;2;2;2;2;2;2;2;2;2;2;2;2;2;2;2;2;2;2;2;2;2;2;2;2;2;2;2;2;2;2;2;2;3;3;3;3;3;3;3;3;3;3;3;3;3;3;3;3;3;3;3;3;3;3;3;3;3;3;3;3;3;3;3;3;3;3;3;3;3;3;3;3;3;3;3;3;3;3;3;3;3;3,</v>
      </c>
      <c r="B6" t="s">
        <v>137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>
        <v>3</v>
      </c>
      <c r="CW6" t="s">
        <v>143</v>
      </c>
    </row>
    <row r="7" spans="1:102" x14ac:dyDescent="0.25">
      <c r="A7" t="str">
        <f t="shared" si="0"/>
        <v>retaliationFearChance,1;2;2;2;3;3;4;4;4;5;6;6;6;7;8;8;8;9;10;10;10;11;12;12;12;13;14;14;14;15;16;16;16;17;18;18;18;19;20;20;20;21;22;22;22;23;24;24;24;25;25.2;25.3;25.5;25.6;25.8;25.9;26.1;26.2;26.4;26.5;26.7;26.8;27;27.1;27.3;27.4;27.6;27.7;27.9;28;28.2;28.3;28.45;28.6;28.75;28.9;29.05;29.2;29.35;29.5;29.65;29.8;29.95;30.1;30.25;30.4;30.55;30.7;30.85;31;31.15;31.3;31.45;31.6;31.75;31.9;32.05;32.2;32.35;32.5,</v>
      </c>
      <c r="B7" t="s">
        <v>138</v>
      </c>
      <c r="C7">
        <v>2</v>
      </c>
      <c r="D7">
        <v>2</v>
      </c>
      <c r="E7">
        <v>2</v>
      </c>
      <c r="F7">
        <v>3</v>
      </c>
      <c r="G7">
        <v>3</v>
      </c>
      <c r="H7">
        <v>4</v>
      </c>
      <c r="I7">
        <v>4</v>
      </c>
      <c r="J7">
        <v>4</v>
      </c>
      <c r="K7">
        <v>5</v>
      </c>
      <c r="L7">
        <v>6</v>
      </c>
      <c r="M7">
        <v>6</v>
      </c>
      <c r="N7">
        <v>6</v>
      </c>
      <c r="O7">
        <v>7</v>
      </c>
      <c r="P7">
        <v>8</v>
      </c>
      <c r="Q7">
        <v>8</v>
      </c>
      <c r="R7">
        <v>8</v>
      </c>
      <c r="S7">
        <v>9</v>
      </c>
      <c r="T7">
        <v>10</v>
      </c>
      <c r="U7">
        <v>10</v>
      </c>
      <c r="V7">
        <v>10</v>
      </c>
      <c r="W7">
        <v>11</v>
      </c>
      <c r="X7">
        <v>12</v>
      </c>
      <c r="Y7">
        <v>12</v>
      </c>
      <c r="Z7">
        <v>12</v>
      </c>
      <c r="AA7">
        <v>13</v>
      </c>
      <c r="AB7">
        <v>14</v>
      </c>
      <c r="AC7">
        <v>14</v>
      </c>
      <c r="AD7">
        <v>14</v>
      </c>
      <c r="AE7">
        <v>15</v>
      </c>
      <c r="AF7">
        <v>16</v>
      </c>
      <c r="AG7">
        <v>16</v>
      </c>
      <c r="AH7">
        <v>16</v>
      </c>
      <c r="AI7">
        <v>17</v>
      </c>
      <c r="AJ7">
        <v>18</v>
      </c>
      <c r="AK7">
        <v>18</v>
      </c>
      <c r="AL7">
        <v>18</v>
      </c>
      <c r="AM7">
        <v>19</v>
      </c>
      <c r="AN7">
        <v>20</v>
      </c>
      <c r="AO7">
        <v>20</v>
      </c>
      <c r="AP7">
        <v>20</v>
      </c>
      <c r="AQ7">
        <v>21</v>
      </c>
      <c r="AR7">
        <v>22</v>
      </c>
      <c r="AS7">
        <v>22</v>
      </c>
      <c r="AT7">
        <v>22</v>
      </c>
      <c r="AU7">
        <v>23</v>
      </c>
      <c r="AV7">
        <v>24</v>
      </c>
      <c r="AW7">
        <v>24</v>
      </c>
      <c r="AX7">
        <v>24</v>
      </c>
      <c r="AY7">
        <v>25</v>
      </c>
      <c r="AZ7">
        <v>25.15</v>
      </c>
      <c r="BA7">
        <v>25.3</v>
      </c>
      <c r="BB7">
        <v>25.45</v>
      </c>
      <c r="BC7">
        <v>25.6</v>
      </c>
      <c r="BD7">
        <v>25.75</v>
      </c>
      <c r="BE7">
        <v>25.9</v>
      </c>
      <c r="BF7">
        <v>26.05</v>
      </c>
      <c r="BG7">
        <v>26.2</v>
      </c>
      <c r="BH7">
        <v>26.35</v>
      </c>
      <c r="BI7">
        <v>26.5</v>
      </c>
      <c r="BJ7">
        <v>26.65</v>
      </c>
      <c r="BK7">
        <v>26.8</v>
      </c>
      <c r="BL7">
        <v>26.95</v>
      </c>
      <c r="BM7">
        <v>27.1</v>
      </c>
      <c r="BN7">
        <v>27.25</v>
      </c>
      <c r="BO7">
        <v>27.4</v>
      </c>
      <c r="BP7">
        <v>27.55</v>
      </c>
      <c r="BQ7">
        <v>27.7</v>
      </c>
      <c r="BR7">
        <v>27.85</v>
      </c>
      <c r="BS7">
        <v>28</v>
      </c>
      <c r="BT7">
        <v>28.15</v>
      </c>
      <c r="BU7">
        <v>28.3</v>
      </c>
      <c r="BV7">
        <v>28.45</v>
      </c>
      <c r="BW7">
        <v>28.6</v>
      </c>
      <c r="BX7">
        <v>28.75</v>
      </c>
      <c r="BY7">
        <v>28.9</v>
      </c>
      <c r="BZ7">
        <v>29.05</v>
      </c>
      <c r="CA7">
        <v>29.2</v>
      </c>
      <c r="CB7">
        <v>29.35</v>
      </c>
      <c r="CC7">
        <v>29.5</v>
      </c>
      <c r="CD7">
        <v>29.65</v>
      </c>
      <c r="CE7">
        <v>29.8</v>
      </c>
      <c r="CF7">
        <v>29.95</v>
      </c>
      <c r="CG7">
        <v>30.1</v>
      </c>
      <c r="CH7">
        <v>30.25</v>
      </c>
      <c r="CI7">
        <v>30.4</v>
      </c>
      <c r="CJ7">
        <v>30.55</v>
      </c>
      <c r="CK7">
        <v>30.7</v>
      </c>
      <c r="CL7">
        <v>30.85</v>
      </c>
      <c r="CM7">
        <v>31</v>
      </c>
      <c r="CN7">
        <v>31.15</v>
      </c>
      <c r="CO7">
        <v>31.3</v>
      </c>
      <c r="CP7">
        <v>31.45</v>
      </c>
      <c r="CQ7">
        <v>31.6</v>
      </c>
      <c r="CR7">
        <v>31.75</v>
      </c>
      <c r="CS7">
        <v>31.9</v>
      </c>
      <c r="CT7">
        <v>32.049999999999997</v>
      </c>
      <c r="CU7">
        <v>32.200000000000003</v>
      </c>
      <c r="CV7">
        <v>32.35</v>
      </c>
      <c r="CW7" t="s">
        <v>141</v>
      </c>
    </row>
    <row r="8" spans="1:102" x14ac:dyDescent="0.25">
      <c r="A8" t="str">
        <f t="shared" si="0"/>
        <v>offensiveFearMin,0.1;0;0.3;0.4;0.5;0.6;0.7;0.8;0.9;1;1.1;1.2;1.3;1.4;1.5;1.6;1.7;1.8;1.9;2;2.1;2.2;2.3;2.4;2.5;2.6;2.7;2.8;2.9;3;3.1;3.2;3.3;3.4;3.5;3.6;3.7;3.8;3.9;4;4.1;4.2;4.3;4.4;4.5;4.6;4.7;4.8;4.9;5;5.05;5.1;5.15;5.2;5.25;5.3;5.35;5.4;5.45;5.5;5.55;5.6;5.65;5.7;5.75;5.8;5.85;5.9;5.95;6;6.05;6.1;6.15;6.2;6.25;6.3;6.35;6.4;6.45;6.5;6.55;6.6;6.65;6.7;6.75;6.8;6.85;6.9;6.95;7;7.05;7.1;7.15;7.2;7.25;7.3;7.35;7.4;7.45;7.5,</v>
      </c>
      <c r="B8" t="s">
        <v>139</v>
      </c>
      <c r="C8">
        <v>0.2</v>
      </c>
      <c r="D8">
        <v>0.3</v>
      </c>
      <c r="E8">
        <v>0.4</v>
      </c>
      <c r="F8">
        <v>0.5</v>
      </c>
      <c r="G8">
        <v>0.6</v>
      </c>
      <c r="H8">
        <v>0.7</v>
      </c>
      <c r="I8">
        <v>0.8</v>
      </c>
      <c r="J8">
        <v>0.9</v>
      </c>
      <c r="K8">
        <v>1</v>
      </c>
      <c r="L8">
        <v>1.1000000000000001</v>
      </c>
      <c r="M8">
        <v>1.2</v>
      </c>
      <c r="N8">
        <v>1.3</v>
      </c>
      <c r="O8">
        <v>1.4</v>
      </c>
      <c r="P8">
        <v>1.5</v>
      </c>
      <c r="Q8">
        <v>1.6</v>
      </c>
      <c r="R8">
        <v>1.7</v>
      </c>
      <c r="S8">
        <v>1.8</v>
      </c>
      <c r="T8">
        <v>1.9</v>
      </c>
      <c r="U8">
        <v>2</v>
      </c>
      <c r="V8">
        <v>2.1</v>
      </c>
      <c r="W8">
        <v>2.2000000000000002</v>
      </c>
      <c r="X8">
        <v>2.2999999999999998</v>
      </c>
      <c r="Y8">
        <v>2.4</v>
      </c>
      <c r="Z8">
        <v>2.5</v>
      </c>
      <c r="AA8">
        <v>2.6</v>
      </c>
      <c r="AB8">
        <v>2.7</v>
      </c>
      <c r="AC8">
        <v>2.8</v>
      </c>
      <c r="AD8">
        <v>2.9</v>
      </c>
      <c r="AE8">
        <v>3</v>
      </c>
      <c r="AF8">
        <v>3.1</v>
      </c>
      <c r="AG8">
        <v>3.2</v>
      </c>
      <c r="AH8">
        <v>3.3</v>
      </c>
      <c r="AI8">
        <v>3.4</v>
      </c>
      <c r="AJ8">
        <v>3.5</v>
      </c>
      <c r="AK8">
        <v>3.6</v>
      </c>
      <c r="AL8">
        <v>3.7</v>
      </c>
      <c r="AM8">
        <v>3.8</v>
      </c>
      <c r="AN8">
        <v>3.9</v>
      </c>
      <c r="AO8">
        <v>4</v>
      </c>
      <c r="AP8">
        <v>4.0999999999999996</v>
      </c>
      <c r="AQ8">
        <v>4.2</v>
      </c>
      <c r="AR8">
        <v>4.3</v>
      </c>
      <c r="AS8">
        <v>4.4000000000000004</v>
      </c>
      <c r="AT8">
        <v>4.5</v>
      </c>
      <c r="AU8">
        <v>4.5999999999999996</v>
      </c>
      <c r="AV8">
        <v>4.7</v>
      </c>
      <c r="AW8">
        <v>4.8</v>
      </c>
      <c r="AX8">
        <v>4.9000000000000004</v>
      </c>
      <c r="AY8">
        <v>5</v>
      </c>
      <c r="AZ8">
        <v>5.05</v>
      </c>
      <c r="BA8">
        <v>5.0999999999999996</v>
      </c>
      <c r="BB8">
        <v>5.15</v>
      </c>
      <c r="BC8">
        <v>5.2</v>
      </c>
      <c r="BD8">
        <v>5.25</v>
      </c>
      <c r="BE8">
        <v>5.3</v>
      </c>
      <c r="BF8">
        <v>5.35</v>
      </c>
      <c r="BG8">
        <v>5.4</v>
      </c>
      <c r="BH8">
        <v>5.45</v>
      </c>
      <c r="BI8">
        <v>5.5</v>
      </c>
      <c r="BJ8">
        <v>5.55</v>
      </c>
      <c r="BK8">
        <v>5.6</v>
      </c>
      <c r="BL8">
        <v>5.65</v>
      </c>
      <c r="BM8">
        <v>5.7</v>
      </c>
      <c r="BN8">
        <v>5.75</v>
      </c>
      <c r="BO8">
        <v>5.8</v>
      </c>
      <c r="BP8">
        <v>5.85</v>
      </c>
      <c r="BQ8">
        <v>5.9</v>
      </c>
      <c r="BR8">
        <v>5.95</v>
      </c>
      <c r="BS8">
        <v>6</v>
      </c>
      <c r="BT8">
        <v>6.05</v>
      </c>
      <c r="BU8">
        <v>6.1</v>
      </c>
      <c r="BV8">
        <v>6.15</v>
      </c>
      <c r="BW8">
        <v>6.2</v>
      </c>
      <c r="BX8">
        <v>6.25</v>
      </c>
      <c r="BY8">
        <v>6.3</v>
      </c>
      <c r="BZ8">
        <v>6.35</v>
      </c>
      <c r="CA8">
        <v>6.4</v>
      </c>
      <c r="CB8">
        <v>6.45</v>
      </c>
      <c r="CC8">
        <v>6.5</v>
      </c>
      <c r="CD8">
        <v>6.55</v>
      </c>
      <c r="CE8">
        <v>6.6</v>
      </c>
      <c r="CF8">
        <v>6.65</v>
      </c>
      <c r="CG8">
        <v>6.7</v>
      </c>
      <c r="CH8">
        <v>6.75</v>
      </c>
      <c r="CI8">
        <v>6.8</v>
      </c>
      <c r="CJ8">
        <v>6.85</v>
      </c>
      <c r="CK8">
        <v>6.9</v>
      </c>
      <c r="CL8">
        <v>6.95</v>
      </c>
      <c r="CM8">
        <v>7</v>
      </c>
      <c r="CN8">
        <v>7.05</v>
      </c>
      <c r="CO8">
        <v>7.1</v>
      </c>
      <c r="CP8">
        <v>7.15</v>
      </c>
      <c r="CQ8">
        <v>7.2</v>
      </c>
      <c r="CR8">
        <v>7.25</v>
      </c>
      <c r="CS8">
        <v>7.3</v>
      </c>
      <c r="CT8">
        <v>7.35</v>
      </c>
      <c r="CU8">
        <v>7.4</v>
      </c>
      <c r="CV8">
        <v>7.45</v>
      </c>
      <c r="CW8" t="s">
        <v>142</v>
      </c>
    </row>
    <row r="9" spans="1:102" x14ac:dyDescent="0.25">
      <c r="A9" t="str">
        <f t="shared" si="0"/>
        <v>offensiveFearChance,5;5;5;5;5;5;5;5;5;5;5;5;5;5;5;5;5;5;5;5;5;5;5;5;5;5;5;5;5;5;5;5;5;5;5;5;5;5;5;5;5;5;5;5;5;5;5;5;5;5;6;6;6;6;6;6;6;6;6;6;6;6;6;6;6;6;6;6;6;6;6;6;6;6;6;6;6;6;6;6;6;6;6;6;6;6;6;6;6;6;6;6;6;6;6;6;6;6;6;6,</v>
      </c>
      <c r="B9" t="s">
        <v>140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  <c r="AB9">
        <v>5</v>
      </c>
      <c r="AC9">
        <v>5</v>
      </c>
      <c r="AD9">
        <v>5</v>
      </c>
      <c r="AE9">
        <v>5</v>
      </c>
      <c r="AF9">
        <v>5</v>
      </c>
      <c r="AG9">
        <v>5</v>
      </c>
      <c r="AH9">
        <v>5</v>
      </c>
      <c r="AI9">
        <v>5</v>
      </c>
      <c r="AJ9">
        <v>5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5</v>
      </c>
      <c r="AV9">
        <v>5</v>
      </c>
      <c r="AW9">
        <v>5</v>
      </c>
      <c r="AX9">
        <v>5</v>
      </c>
      <c r="AY9">
        <v>5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>
        <v>6</v>
      </c>
      <c r="CW9" t="s">
        <v>144</v>
      </c>
    </row>
    <row r="10" spans="1:102" x14ac:dyDescent="0.25">
      <c r="A10" t="str">
        <f t="shared" si="0"/>
        <v>characterDodgePercent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129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v>10.25</v>
      </c>
      <c r="BW10">
        <v>10.5</v>
      </c>
      <c r="BX10">
        <v>10.75</v>
      </c>
      <c r="BY10">
        <v>11</v>
      </c>
      <c r="BZ10">
        <v>11.25</v>
      </c>
      <c r="CA10">
        <v>11.5</v>
      </c>
      <c r="CB10">
        <v>11.75</v>
      </c>
      <c r="CC10">
        <v>12</v>
      </c>
      <c r="CD10">
        <v>12.25</v>
      </c>
      <c r="CE10">
        <v>12.5</v>
      </c>
      <c r="CF10">
        <v>12.75</v>
      </c>
      <c r="CG10">
        <v>13</v>
      </c>
      <c r="CH10">
        <v>13.25</v>
      </c>
      <c r="CI10">
        <v>13.5</v>
      </c>
      <c r="CJ10">
        <v>13.75</v>
      </c>
      <c r="CK10">
        <v>14</v>
      </c>
      <c r="CL10">
        <v>14.25</v>
      </c>
      <c r="CM10">
        <v>14.5</v>
      </c>
      <c r="CN10">
        <v>14.75</v>
      </c>
      <c r="CO10">
        <v>15</v>
      </c>
      <c r="CP10">
        <v>15.25</v>
      </c>
      <c r="CQ10">
        <v>15.5</v>
      </c>
      <c r="CR10">
        <v>15.75</v>
      </c>
      <c r="CS10">
        <v>16</v>
      </c>
      <c r="CT10">
        <v>16.25</v>
      </c>
      <c r="CU10">
        <v>16.5</v>
      </c>
      <c r="CV10">
        <v>16.75</v>
      </c>
      <c r="CW10" t="s">
        <v>57</v>
      </c>
    </row>
    <row r="11" spans="1:102" x14ac:dyDescent="0.25">
      <c r="A11" t="str">
        <f t="shared" si="0"/>
        <v>characterDeflectProjectile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1" t="s">
        <v>130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0.5</v>
      </c>
      <c r="BA11">
        <v>1</v>
      </c>
      <c r="BB11">
        <v>1.5</v>
      </c>
      <c r="BC11">
        <v>2</v>
      </c>
      <c r="BD11">
        <v>2.5</v>
      </c>
      <c r="BE11">
        <v>3</v>
      </c>
      <c r="BF11">
        <v>3.5</v>
      </c>
      <c r="BG11">
        <v>4</v>
      </c>
      <c r="BH11">
        <v>4.5</v>
      </c>
      <c r="BI11">
        <v>5</v>
      </c>
      <c r="BJ11">
        <v>5.5</v>
      </c>
      <c r="BK11">
        <v>6</v>
      </c>
      <c r="BL11">
        <v>6.5</v>
      </c>
      <c r="BM11">
        <v>7</v>
      </c>
      <c r="BN11">
        <v>7.5</v>
      </c>
      <c r="BO11">
        <v>8</v>
      </c>
      <c r="BP11">
        <v>8.5</v>
      </c>
      <c r="BQ11">
        <v>9</v>
      </c>
      <c r="BR11">
        <v>9</v>
      </c>
      <c r="BS11">
        <v>9.5</v>
      </c>
      <c r="BT11">
        <v>9.5</v>
      </c>
      <c r="BU11">
        <v>10</v>
      </c>
      <c r="BV11">
        <v>10.25</v>
      </c>
      <c r="BW11">
        <v>10.5</v>
      </c>
      <c r="BX11">
        <v>10.75</v>
      </c>
      <c r="BY11">
        <v>11</v>
      </c>
      <c r="BZ11">
        <v>11.25</v>
      </c>
      <c r="CA11">
        <v>11.5</v>
      </c>
      <c r="CB11">
        <v>11.75</v>
      </c>
      <c r="CC11">
        <v>12</v>
      </c>
      <c r="CD11">
        <v>12.25</v>
      </c>
      <c r="CE11">
        <v>12.5</v>
      </c>
      <c r="CF11">
        <v>12.75</v>
      </c>
      <c r="CG11">
        <v>13</v>
      </c>
      <c r="CH11">
        <v>13.25</v>
      </c>
      <c r="CI11">
        <v>13.5</v>
      </c>
      <c r="CJ11">
        <v>13.75</v>
      </c>
      <c r="CK11">
        <v>14</v>
      </c>
      <c r="CL11">
        <v>14.25</v>
      </c>
      <c r="CM11">
        <v>14.5</v>
      </c>
      <c r="CN11">
        <v>14.75</v>
      </c>
      <c r="CO11">
        <v>15</v>
      </c>
      <c r="CP11">
        <v>15.25</v>
      </c>
      <c r="CQ11">
        <v>15.5</v>
      </c>
      <c r="CR11">
        <v>15.75</v>
      </c>
      <c r="CS11">
        <v>16</v>
      </c>
      <c r="CT11">
        <v>16.25</v>
      </c>
      <c r="CU11">
        <v>16.5</v>
      </c>
      <c r="CV11">
        <v>16.75</v>
      </c>
      <c r="CW11" t="s">
        <v>57</v>
      </c>
    </row>
    <row r="14" spans="1:102" x14ac:dyDescent="0.25">
      <c r="C14">
        <v>1</v>
      </c>
      <c r="D14" s="1">
        <f>C14+1</f>
        <v>2</v>
      </c>
      <c r="E14" s="1">
        <f t="shared" ref="E14:BP14" si="1">D14+1</f>
        <v>3</v>
      </c>
      <c r="F14" s="1">
        <f t="shared" si="1"/>
        <v>4</v>
      </c>
      <c r="G14" s="1">
        <f t="shared" si="1"/>
        <v>5</v>
      </c>
      <c r="H14" s="1">
        <f t="shared" si="1"/>
        <v>6</v>
      </c>
      <c r="I14" s="1">
        <f t="shared" si="1"/>
        <v>7</v>
      </c>
      <c r="J14" s="1">
        <f t="shared" si="1"/>
        <v>8</v>
      </c>
      <c r="K14" s="1">
        <f t="shared" si="1"/>
        <v>9</v>
      </c>
      <c r="L14" s="1">
        <f t="shared" si="1"/>
        <v>10</v>
      </c>
      <c r="M14" s="1">
        <f t="shared" si="1"/>
        <v>11</v>
      </c>
      <c r="N14" s="1">
        <f t="shared" si="1"/>
        <v>12</v>
      </c>
      <c r="O14" s="1">
        <f t="shared" si="1"/>
        <v>13</v>
      </c>
      <c r="P14" s="1">
        <f t="shared" si="1"/>
        <v>14</v>
      </c>
      <c r="Q14" s="1">
        <f t="shared" si="1"/>
        <v>15</v>
      </c>
      <c r="R14" s="1">
        <f t="shared" si="1"/>
        <v>16</v>
      </c>
      <c r="S14" s="1">
        <f t="shared" si="1"/>
        <v>17</v>
      </c>
      <c r="T14" s="1">
        <f t="shared" si="1"/>
        <v>18</v>
      </c>
      <c r="U14" s="1">
        <f t="shared" si="1"/>
        <v>19</v>
      </c>
      <c r="V14" s="1">
        <f t="shared" si="1"/>
        <v>20</v>
      </c>
      <c r="W14" s="1">
        <f t="shared" si="1"/>
        <v>21</v>
      </c>
      <c r="X14" s="1">
        <f t="shared" si="1"/>
        <v>22</v>
      </c>
      <c r="Y14" s="1">
        <f t="shared" si="1"/>
        <v>23</v>
      </c>
      <c r="Z14" s="1">
        <f t="shared" si="1"/>
        <v>24</v>
      </c>
      <c r="AA14" s="1">
        <f t="shared" si="1"/>
        <v>25</v>
      </c>
      <c r="AB14" s="1">
        <f t="shared" si="1"/>
        <v>26</v>
      </c>
      <c r="AC14" s="1">
        <f t="shared" si="1"/>
        <v>27</v>
      </c>
      <c r="AD14" s="1">
        <f t="shared" si="1"/>
        <v>28</v>
      </c>
      <c r="AE14" s="1">
        <f t="shared" si="1"/>
        <v>29</v>
      </c>
      <c r="AF14" s="1">
        <f t="shared" si="1"/>
        <v>30</v>
      </c>
      <c r="AG14" s="1">
        <f t="shared" si="1"/>
        <v>31</v>
      </c>
      <c r="AH14" s="1">
        <f t="shared" si="1"/>
        <v>32</v>
      </c>
      <c r="AI14" s="1">
        <f t="shared" si="1"/>
        <v>33</v>
      </c>
      <c r="AJ14" s="1">
        <f t="shared" si="1"/>
        <v>34</v>
      </c>
      <c r="AK14" s="1">
        <f t="shared" si="1"/>
        <v>35</v>
      </c>
      <c r="AL14" s="1">
        <f t="shared" si="1"/>
        <v>36</v>
      </c>
      <c r="AM14" s="1">
        <f t="shared" si="1"/>
        <v>37</v>
      </c>
      <c r="AN14" s="1">
        <f t="shared" si="1"/>
        <v>38</v>
      </c>
      <c r="AO14" s="1">
        <f t="shared" si="1"/>
        <v>39</v>
      </c>
      <c r="AP14" s="1">
        <f t="shared" si="1"/>
        <v>40</v>
      </c>
      <c r="AQ14" s="1">
        <f t="shared" si="1"/>
        <v>41</v>
      </c>
      <c r="AR14" s="1">
        <f t="shared" si="1"/>
        <v>42</v>
      </c>
      <c r="AS14" s="1">
        <f t="shared" si="1"/>
        <v>43</v>
      </c>
      <c r="AT14" s="1">
        <f t="shared" si="1"/>
        <v>44</v>
      </c>
      <c r="AU14" s="1">
        <f t="shared" si="1"/>
        <v>45</v>
      </c>
      <c r="AV14" s="1">
        <f t="shared" si="1"/>
        <v>46</v>
      </c>
      <c r="AW14" s="1">
        <f t="shared" si="1"/>
        <v>47</v>
      </c>
      <c r="AX14" s="1">
        <f t="shared" si="1"/>
        <v>48</v>
      </c>
      <c r="AY14" s="1">
        <f t="shared" si="1"/>
        <v>49</v>
      </c>
      <c r="AZ14" s="1">
        <f t="shared" si="1"/>
        <v>50</v>
      </c>
      <c r="BA14" s="1">
        <f t="shared" si="1"/>
        <v>51</v>
      </c>
      <c r="BB14" s="1">
        <f t="shared" si="1"/>
        <v>52</v>
      </c>
      <c r="BC14" s="1">
        <f t="shared" si="1"/>
        <v>53</v>
      </c>
      <c r="BD14" s="1">
        <f t="shared" si="1"/>
        <v>54</v>
      </c>
      <c r="BE14" s="1">
        <f t="shared" si="1"/>
        <v>55</v>
      </c>
      <c r="BF14" s="1">
        <f t="shared" si="1"/>
        <v>56</v>
      </c>
      <c r="BG14" s="1">
        <f t="shared" si="1"/>
        <v>57</v>
      </c>
      <c r="BH14" s="1">
        <f t="shared" si="1"/>
        <v>58</v>
      </c>
      <c r="BI14" s="1">
        <f t="shared" si="1"/>
        <v>59</v>
      </c>
      <c r="BJ14" s="1">
        <f t="shared" si="1"/>
        <v>60</v>
      </c>
      <c r="BK14" s="1">
        <f t="shared" si="1"/>
        <v>61</v>
      </c>
      <c r="BL14" s="1">
        <f t="shared" si="1"/>
        <v>62</v>
      </c>
      <c r="BM14" s="1">
        <f t="shared" si="1"/>
        <v>63</v>
      </c>
      <c r="BN14" s="1">
        <f t="shared" si="1"/>
        <v>64</v>
      </c>
      <c r="BO14" s="1">
        <f t="shared" si="1"/>
        <v>65</v>
      </c>
      <c r="BP14" s="1">
        <f t="shared" si="1"/>
        <v>66</v>
      </c>
      <c r="BQ14" s="1">
        <f t="shared" ref="BQ14:CW14" si="2">BP14+1</f>
        <v>67</v>
      </c>
      <c r="BR14" s="1">
        <f t="shared" si="2"/>
        <v>68</v>
      </c>
      <c r="BS14" s="1">
        <f t="shared" si="2"/>
        <v>69</v>
      </c>
      <c r="BT14" s="1">
        <f t="shared" si="2"/>
        <v>70</v>
      </c>
      <c r="BU14" s="1">
        <f t="shared" si="2"/>
        <v>71</v>
      </c>
      <c r="BV14" s="1">
        <f t="shared" si="2"/>
        <v>72</v>
      </c>
      <c r="BW14" s="1">
        <f t="shared" si="2"/>
        <v>73</v>
      </c>
      <c r="BX14" s="1">
        <f t="shared" si="2"/>
        <v>74</v>
      </c>
      <c r="BY14" s="1">
        <f t="shared" si="2"/>
        <v>75</v>
      </c>
      <c r="BZ14" s="1">
        <f t="shared" si="2"/>
        <v>76</v>
      </c>
      <c r="CA14" s="1">
        <f t="shared" si="2"/>
        <v>77</v>
      </c>
      <c r="CB14" s="1">
        <f t="shared" si="2"/>
        <v>78</v>
      </c>
      <c r="CC14" s="1">
        <f t="shared" si="2"/>
        <v>79</v>
      </c>
      <c r="CD14" s="1">
        <f t="shared" si="2"/>
        <v>80</v>
      </c>
      <c r="CE14" s="1">
        <f t="shared" si="2"/>
        <v>81</v>
      </c>
      <c r="CF14" s="1">
        <f t="shared" si="2"/>
        <v>82</v>
      </c>
      <c r="CG14" s="1">
        <f t="shared" si="2"/>
        <v>83</v>
      </c>
      <c r="CH14" s="1">
        <f t="shared" si="2"/>
        <v>84</v>
      </c>
      <c r="CI14" s="1">
        <f t="shared" si="2"/>
        <v>85</v>
      </c>
      <c r="CJ14" s="1">
        <f t="shared" si="2"/>
        <v>86</v>
      </c>
      <c r="CK14" s="1">
        <f t="shared" si="2"/>
        <v>87</v>
      </c>
      <c r="CL14" s="1">
        <f t="shared" si="2"/>
        <v>88</v>
      </c>
      <c r="CM14" s="1">
        <f t="shared" si="2"/>
        <v>89</v>
      </c>
      <c r="CN14" s="1">
        <f t="shared" si="2"/>
        <v>90</v>
      </c>
      <c r="CO14" s="1">
        <f t="shared" si="2"/>
        <v>91</v>
      </c>
      <c r="CP14" s="1">
        <f t="shared" si="2"/>
        <v>92</v>
      </c>
      <c r="CQ14" s="1">
        <f t="shared" si="2"/>
        <v>93</v>
      </c>
      <c r="CR14" s="1">
        <f t="shared" si="2"/>
        <v>94</v>
      </c>
      <c r="CS14" s="1">
        <f t="shared" si="2"/>
        <v>95</v>
      </c>
      <c r="CT14" s="1">
        <f t="shared" si="2"/>
        <v>96</v>
      </c>
      <c r="CU14" s="1">
        <f t="shared" si="2"/>
        <v>97</v>
      </c>
      <c r="CV14" s="1">
        <f t="shared" si="2"/>
        <v>98</v>
      </c>
      <c r="CW14" s="1">
        <f t="shared" si="2"/>
        <v>99</v>
      </c>
      <c r="CX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class01</vt:lpstr>
      <vt:lpstr>class02</vt:lpstr>
      <vt:lpstr>class03</vt:lpstr>
      <vt:lpstr>class03pet</vt:lpstr>
      <vt:lpstr>class04</vt:lpstr>
      <vt:lpstr>class05</vt:lpstr>
      <vt:lpstr>class06</vt:lpstr>
      <vt:lpstr>class07</vt:lpstr>
      <vt:lpstr>class07petdb</vt:lpstr>
      <vt:lpstr>class08</vt:lpstr>
      <vt:lpstr>class10</vt:lpstr>
      <vt:lpstr>class11</vt:lpstr>
      <vt:lpstr>class12</vt:lpstr>
      <vt:lpstr>class13</vt:lpstr>
      <vt:lpstr>class16</vt:lpstr>
      <vt:lpstr>class17</vt:lpstr>
      <vt:lpstr>class18</vt:lpstr>
      <vt:lpstr>class19</vt:lpstr>
      <vt:lpstr>class20</vt:lpstr>
      <vt:lpstr>class21</vt:lpstr>
      <vt:lpstr>class22</vt:lpstr>
      <vt:lpstr>class23</vt:lpstr>
      <vt:lpstr>class24</vt:lpstr>
      <vt:lpstr>class27</vt:lpstr>
      <vt:lpstr>class29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davood</dc:creator>
  <cp:lastModifiedBy>davood</cp:lastModifiedBy>
  <dcterms:created xsi:type="dcterms:W3CDTF">2016-05-24T22:20:13Z</dcterms:created>
  <dcterms:modified xsi:type="dcterms:W3CDTF">2016-08-03T01:30:50Z</dcterms:modified>
</cp:coreProperties>
</file>